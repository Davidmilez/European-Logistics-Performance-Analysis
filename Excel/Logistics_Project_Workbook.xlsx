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avid\Downloads\"/>
    </mc:Choice>
  </mc:AlternateContent>
  <bookViews>
    <workbookView xWindow="0" yWindow="0" windowWidth="20460" windowHeight="8655" tabRatio="808" firstSheet="6" activeTab="12"/>
  </bookViews>
  <sheets>
    <sheet name="Customers" sheetId="1" r:id="rId1"/>
    <sheet name="Products" sheetId="2" r:id="rId2"/>
    <sheet name="Warehouses" sheetId="3" r:id="rId3"/>
    <sheet name="Carriers" sheetId="4" r:id="rId4"/>
    <sheet name="Routes" sheetId="5" r:id="rId5"/>
    <sheet name="Orders" sheetId="6" r:id="rId6"/>
    <sheet name="Order_ID" sheetId="7" r:id="rId7"/>
    <sheet name="On_Time_Delivery_Perf" sheetId="9" r:id="rId8"/>
    <sheet name="Warehouse_Performance" sheetId="10" r:id="rId9"/>
    <sheet name="Route_Performance" sheetId="12" r:id="rId10"/>
    <sheet name="Delay_Category" sheetId="13" r:id="rId11"/>
    <sheet name="Shipments" sheetId="8" r:id="rId12"/>
    <sheet name="Dashboard" sheetId="15" r:id="rId13"/>
  </sheets>
  <definedNames>
    <definedName name="Slicer_Carrier_ID">#N/A</definedName>
    <definedName name="Slicer_Delay_Category">#N/A</definedName>
    <definedName name="Slicer_Delivery_Status">#N/A</definedName>
    <definedName name="Slicer_Warehouse_ID">#N/A</definedName>
  </definedNames>
  <calcPr calcId="162913"/>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8" l="1"/>
  <c r="G3" i="8" s="1"/>
  <c r="H3" i="8" s="1"/>
  <c r="I3" i="8" s="1"/>
  <c r="J3" i="8" s="1"/>
  <c r="F4" i="8"/>
  <c r="G4" i="8" s="1"/>
  <c r="H4" i="8" s="1"/>
  <c r="I4" i="8" s="1"/>
  <c r="J4" i="8" s="1"/>
  <c r="F5" i="8"/>
  <c r="G5" i="8" s="1"/>
  <c r="H5" i="8" s="1"/>
  <c r="I5" i="8" s="1"/>
  <c r="J5" i="8" s="1"/>
  <c r="F6" i="8"/>
  <c r="G6" i="8" s="1"/>
  <c r="H6" i="8" s="1"/>
  <c r="I6" i="8" s="1"/>
  <c r="J6" i="8" s="1"/>
  <c r="F7" i="8"/>
  <c r="G7" i="8" s="1"/>
  <c r="H7" i="8" s="1"/>
  <c r="I7" i="8" s="1"/>
  <c r="J7" i="8" s="1"/>
  <c r="F8" i="8"/>
  <c r="G8" i="8" s="1"/>
  <c r="H8" i="8" s="1"/>
  <c r="I8" i="8" s="1"/>
  <c r="J8" i="8" s="1"/>
  <c r="F9" i="8"/>
  <c r="G9" i="8" s="1"/>
  <c r="H9" i="8" s="1"/>
  <c r="I9" i="8" s="1"/>
  <c r="J9" i="8" s="1"/>
  <c r="F10" i="8"/>
  <c r="G10" i="8" s="1"/>
  <c r="H10" i="8" s="1"/>
  <c r="I10" i="8" s="1"/>
  <c r="J10" i="8" s="1"/>
  <c r="F11" i="8"/>
  <c r="G11" i="8" s="1"/>
  <c r="H11" i="8" s="1"/>
  <c r="I11" i="8" s="1"/>
  <c r="J11" i="8" s="1"/>
  <c r="F12" i="8"/>
  <c r="G12" i="8" s="1"/>
  <c r="H12" i="8" s="1"/>
  <c r="I12" i="8" s="1"/>
  <c r="J12" i="8" s="1"/>
  <c r="F13" i="8"/>
  <c r="G13" i="8" s="1"/>
  <c r="H13" i="8" s="1"/>
  <c r="I13" i="8" s="1"/>
  <c r="J13" i="8" s="1"/>
  <c r="F14" i="8"/>
  <c r="G14" i="8" s="1"/>
  <c r="H14" i="8" s="1"/>
  <c r="I14" i="8" s="1"/>
  <c r="J14" i="8" s="1"/>
  <c r="F15" i="8"/>
  <c r="F16" i="8"/>
  <c r="G16" i="8" s="1"/>
  <c r="H16" i="8" s="1"/>
  <c r="I16" i="8" s="1"/>
  <c r="J16" i="8" s="1"/>
  <c r="F17" i="8"/>
  <c r="G17" i="8" s="1"/>
  <c r="H17" i="8" s="1"/>
  <c r="I17" i="8" s="1"/>
  <c r="J17" i="8" s="1"/>
  <c r="F18" i="8"/>
  <c r="G18" i="8" s="1"/>
  <c r="H18" i="8" s="1"/>
  <c r="I18" i="8" s="1"/>
  <c r="J18" i="8" s="1"/>
  <c r="F19" i="8"/>
  <c r="G19" i="8" s="1"/>
  <c r="H19" i="8" s="1"/>
  <c r="I19" i="8" s="1"/>
  <c r="J19" i="8" s="1"/>
  <c r="F20" i="8"/>
  <c r="G20" i="8" s="1"/>
  <c r="H20" i="8" s="1"/>
  <c r="I20" i="8" s="1"/>
  <c r="J20" i="8" s="1"/>
  <c r="F21" i="8"/>
  <c r="G21" i="8" s="1"/>
  <c r="H21" i="8" s="1"/>
  <c r="I21" i="8" s="1"/>
  <c r="J21" i="8" s="1"/>
  <c r="F22" i="8"/>
  <c r="G22" i="8" s="1"/>
  <c r="H22" i="8" s="1"/>
  <c r="I22" i="8" s="1"/>
  <c r="J22" i="8" s="1"/>
  <c r="F23" i="8"/>
  <c r="G23" i="8" s="1"/>
  <c r="H23" i="8" s="1"/>
  <c r="I23" i="8" s="1"/>
  <c r="J23" i="8" s="1"/>
  <c r="F24" i="8"/>
  <c r="G24" i="8" s="1"/>
  <c r="H24" i="8" s="1"/>
  <c r="I24" i="8" s="1"/>
  <c r="J24" i="8" s="1"/>
  <c r="F25" i="8"/>
  <c r="G25" i="8" s="1"/>
  <c r="H25" i="8" s="1"/>
  <c r="I25" i="8" s="1"/>
  <c r="J25" i="8" s="1"/>
  <c r="F26" i="8"/>
  <c r="G26" i="8" s="1"/>
  <c r="H26" i="8" s="1"/>
  <c r="I26" i="8" s="1"/>
  <c r="J26" i="8" s="1"/>
  <c r="F27" i="8"/>
  <c r="G27" i="8" s="1"/>
  <c r="H27" i="8" s="1"/>
  <c r="I27" i="8" s="1"/>
  <c r="J27" i="8" s="1"/>
  <c r="F28" i="8"/>
  <c r="G28" i="8" s="1"/>
  <c r="H28" i="8" s="1"/>
  <c r="I28" i="8" s="1"/>
  <c r="J28" i="8" s="1"/>
  <c r="F29" i="8"/>
  <c r="G29" i="8" s="1"/>
  <c r="H29" i="8" s="1"/>
  <c r="I29" i="8" s="1"/>
  <c r="J29" i="8" s="1"/>
  <c r="F30" i="8"/>
  <c r="G30" i="8" s="1"/>
  <c r="H30" i="8" s="1"/>
  <c r="I30" i="8" s="1"/>
  <c r="J30" i="8" s="1"/>
  <c r="F31" i="8"/>
  <c r="G31" i="8" s="1"/>
  <c r="H31" i="8" s="1"/>
  <c r="I31" i="8" s="1"/>
  <c r="J31" i="8" s="1"/>
  <c r="F32" i="8"/>
  <c r="G32" i="8" s="1"/>
  <c r="H32" i="8" s="1"/>
  <c r="I32" i="8" s="1"/>
  <c r="J32" i="8" s="1"/>
  <c r="F33" i="8"/>
  <c r="G33" i="8" s="1"/>
  <c r="H33" i="8" s="1"/>
  <c r="I33" i="8" s="1"/>
  <c r="J33" i="8" s="1"/>
  <c r="F34" i="8"/>
  <c r="G34" i="8" s="1"/>
  <c r="H34" i="8" s="1"/>
  <c r="I34" i="8" s="1"/>
  <c r="J34" i="8" s="1"/>
  <c r="F35" i="8"/>
  <c r="G35" i="8" s="1"/>
  <c r="H35" i="8" s="1"/>
  <c r="I35" i="8" s="1"/>
  <c r="J35" i="8" s="1"/>
  <c r="F36" i="8"/>
  <c r="G36" i="8" s="1"/>
  <c r="H36" i="8" s="1"/>
  <c r="I36" i="8" s="1"/>
  <c r="J36" i="8" s="1"/>
  <c r="F37" i="8"/>
  <c r="G37" i="8" s="1"/>
  <c r="H37" i="8" s="1"/>
  <c r="I37" i="8" s="1"/>
  <c r="J37" i="8" s="1"/>
  <c r="F38" i="8"/>
  <c r="G38" i="8" s="1"/>
  <c r="H38" i="8" s="1"/>
  <c r="I38" i="8" s="1"/>
  <c r="J38" i="8" s="1"/>
  <c r="F39" i="8"/>
  <c r="G39" i="8" s="1"/>
  <c r="H39" i="8" s="1"/>
  <c r="I39" i="8" s="1"/>
  <c r="J39" i="8" s="1"/>
  <c r="F40" i="8"/>
  <c r="G40" i="8" s="1"/>
  <c r="H40" i="8" s="1"/>
  <c r="I40" i="8" s="1"/>
  <c r="J40" i="8" s="1"/>
  <c r="F41" i="8"/>
  <c r="G41" i="8" s="1"/>
  <c r="H41" i="8" s="1"/>
  <c r="I41" i="8" s="1"/>
  <c r="J41" i="8" s="1"/>
  <c r="F42" i="8"/>
  <c r="G42" i="8" s="1"/>
  <c r="H42" i="8" s="1"/>
  <c r="I42" i="8" s="1"/>
  <c r="J42" i="8" s="1"/>
  <c r="F43" i="8"/>
  <c r="G43" i="8" s="1"/>
  <c r="H43" i="8" s="1"/>
  <c r="I43" i="8" s="1"/>
  <c r="J43" i="8" s="1"/>
  <c r="F44" i="8"/>
  <c r="G44" i="8" s="1"/>
  <c r="H44" i="8" s="1"/>
  <c r="I44" i="8" s="1"/>
  <c r="J44" i="8" s="1"/>
  <c r="F45" i="8"/>
  <c r="G45" i="8" s="1"/>
  <c r="H45" i="8" s="1"/>
  <c r="I45" i="8" s="1"/>
  <c r="J45" i="8" s="1"/>
  <c r="F46" i="8"/>
  <c r="G46" i="8" s="1"/>
  <c r="H46" i="8" s="1"/>
  <c r="I46" i="8" s="1"/>
  <c r="J46" i="8" s="1"/>
  <c r="F47" i="8"/>
  <c r="G47" i="8" s="1"/>
  <c r="H47" i="8" s="1"/>
  <c r="I47" i="8" s="1"/>
  <c r="J47" i="8" s="1"/>
  <c r="F48" i="8"/>
  <c r="G48" i="8" s="1"/>
  <c r="H48" i="8" s="1"/>
  <c r="I48" i="8" s="1"/>
  <c r="J48" i="8" s="1"/>
  <c r="F49" i="8"/>
  <c r="G49" i="8" s="1"/>
  <c r="H49" i="8" s="1"/>
  <c r="I49" i="8" s="1"/>
  <c r="J49" i="8" s="1"/>
  <c r="F50" i="8"/>
  <c r="G50" i="8" s="1"/>
  <c r="H50" i="8" s="1"/>
  <c r="I50" i="8" s="1"/>
  <c r="J50" i="8" s="1"/>
  <c r="F51" i="8"/>
  <c r="G51" i="8" s="1"/>
  <c r="H51" i="8" s="1"/>
  <c r="I51" i="8" s="1"/>
  <c r="J51" i="8" s="1"/>
  <c r="F52" i="8"/>
  <c r="G52" i="8" s="1"/>
  <c r="H52" i="8" s="1"/>
  <c r="I52" i="8" s="1"/>
  <c r="J52" i="8" s="1"/>
  <c r="F53" i="8"/>
  <c r="G53" i="8" s="1"/>
  <c r="H53" i="8" s="1"/>
  <c r="I53" i="8" s="1"/>
  <c r="J53" i="8" s="1"/>
  <c r="F54" i="8"/>
  <c r="G54" i="8" s="1"/>
  <c r="H54" i="8" s="1"/>
  <c r="I54" i="8" s="1"/>
  <c r="J54" i="8" s="1"/>
  <c r="F55" i="8"/>
  <c r="G55" i="8" s="1"/>
  <c r="H55" i="8" s="1"/>
  <c r="I55" i="8" s="1"/>
  <c r="J55" i="8" s="1"/>
  <c r="F56" i="8"/>
  <c r="G56" i="8" s="1"/>
  <c r="H56" i="8" s="1"/>
  <c r="I56" i="8" s="1"/>
  <c r="J56" i="8" s="1"/>
  <c r="F57" i="8"/>
  <c r="G57" i="8" s="1"/>
  <c r="H57" i="8" s="1"/>
  <c r="I57" i="8" s="1"/>
  <c r="J57" i="8" s="1"/>
  <c r="F58" i="8"/>
  <c r="G58" i="8" s="1"/>
  <c r="H58" i="8" s="1"/>
  <c r="I58" i="8" s="1"/>
  <c r="J58" i="8" s="1"/>
  <c r="F59" i="8"/>
  <c r="G59" i="8" s="1"/>
  <c r="H59" i="8" s="1"/>
  <c r="I59" i="8" s="1"/>
  <c r="J59" i="8" s="1"/>
  <c r="F60" i="8"/>
  <c r="G60" i="8" s="1"/>
  <c r="H60" i="8" s="1"/>
  <c r="I60" i="8" s="1"/>
  <c r="J60" i="8" s="1"/>
  <c r="F61" i="8"/>
  <c r="G61" i="8" s="1"/>
  <c r="H61" i="8" s="1"/>
  <c r="I61" i="8" s="1"/>
  <c r="J61" i="8" s="1"/>
  <c r="F62" i="8"/>
  <c r="G62" i="8" s="1"/>
  <c r="H62" i="8" s="1"/>
  <c r="I62" i="8" s="1"/>
  <c r="J62" i="8" s="1"/>
  <c r="F63" i="8"/>
  <c r="G63" i="8" s="1"/>
  <c r="H63" i="8" s="1"/>
  <c r="I63" i="8" s="1"/>
  <c r="J63" i="8" s="1"/>
  <c r="F64" i="8"/>
  <c r="G64" i="8" s="1"/>
  <c r="H64" i="8" s="1"/>
  <c r="I64" i="8" s="1"/>
  <c r="J64" i="8" s="1"/>
  <c r="F65" i="8"/>
  <c r="G65" i="8" s="1"/>
  <c r="H65" i="8" s="1"/>
  <c r="I65" i="8" s="1"/>
  <c r="J65" i="8" s="1"/>
  <c r="F66" i="8"/>
  <c r="G66" i="8" s="1"/>
  <c r="H66" i="8" s="1"/>
  <c r="I66" i="8" s="1"/>
  <c r="J66" i="8" s="1"/>
  <c r="F67" i="8"/>
  <c r="G67" i="8" s="1"/>
  <c r="H67" i="8" s="1"/>
  <c r="I67" i="8" s="1"/>
  <c r="J67" i="8" s="1"/>
  <c r="F68" i="8"/>
  <c r="G68" i="8" s="1"/>
  <c r="H68" i="8" s="1"/>
  <c r="I68" i="8" s="1"/>
  <c r="J68" i="8" s="1"/>
  <c r="F69" i="8"/>
  <c r="G69" i="8" s="1"/>
  <c r="H69" i="8" s="1"/>
  <c r="I69" i="8" s="1"/>
  <c r="J69" i="8" s="1"/>
  <c r="F70" i="8"/>
  <c r="G70" i="8" s="1"/>
  <c r="H70" i="8" s="1"/>
  <c r="I70" i="8" s="1"/>
  <c r="J70" i="8" s="1"/>
  <c r="F71" i="8"/>
  <c r="G71" i="8" s="1"/>
  <c r="H71" i="8" s="1"/>
  <c r="I71" i="8" s="1"/>
  <c r="J71" i="8" s="1"/>
  <c r="F72" i="8"/>
  <c r="G72" i="8" s="1"/>
  <c r="H72" i="8" s="1"/>
  <c r="I72" i="8" s="1"/>
  <c r="J72" i="8" s="1"/>
  <c r="F73" i="8"/>
  <c r="G73" i="8" s="1"/>
  <c r="H73" i="8" s="1"/>
  <c r="I73" i="8" s="1"/>
  <c r="J73" i="8" s="1"/>
  <c r="F74" i="8"/>
  <c r="G74" i="8" s="1"/>
  <c r="H74" i="8" s="1"/>
  <c r="I74" i="8" s="1"/>
  <c r="J74" i="8" s="1"/>
  <c r="F75" i="8"/>
  <c r="G75" i="8" s="1"/>
  <c r="H75" i="8" s="1"/>
  <c r="I75" i="8" s="1"/>
  <c r="J75" i="8" s="1"/>
  <c r="F76" i="8"/>
  <c r="G76" i="8" s="1"/>
  <c r="H76" i="8" s="1"/>
  <c r="I76" i="8" s="1"/>
  <c r="J76" i="8" s="1"/>
  <c r="F77" i="8"/>
  <c r="G77" i="8" s="1"/>
  <c r="H77" i="8" s="1"/>
  <c r="I77" i="8" s="1"/>
  <c r="J77" i="8" s="1"/>
  <c r="F78" i="8"/>
  <c r="G78" i="8" s="1"/>
  <c r="H78" i="8" s="1"/>
  <c r="I78" i="8" s="1"/>
  <c r="J78" i="8" s="1"/>
  <c r="F79" i="8"/>
  <c r="G79" i="8" s="1"/>
  <c r="H79" i="8" s="1"/>
  <c r="I79" i="8" s="1"/>
  <c r="J79" i="8" s="1"/>
  <c r="F80" i="8"/>
  <c r="G80" i="8" s="1"/>
  <c r="H80" i="8" s="1"/>
  <c r="I80" i="8" s="1"/>
  <c r="J80" i="8" s="1"/>
  <c r="F81" i="8"/>
  <c r="G81" i="8" s="1"/>
  <c r="H81" i="8" s="1"/>
  <c r="I81" i="8" s="1"/>
  <c r="J81" i="8" s="1"/>
  <c r="F82" i="8"/>
  <c r="G82" i="8" s="1"/>
  <c r="H82" i="8" s="1"/>
  <c r="I82" i="8" s="1"/>
  <c r="J82" i="8" s="1"/>
  <c r="F83" i="8"/>
  <c r="G83" i="8" s="1"/>
  <c r="H83" i="8" s="1"/>
  <c r="I83" i="8" s="1"/>
  <c r="J83" i="8" s="1"/>
  <c r="F84" i="8"/>
  <c r="G84" i="8" s="1"/>
  <c r="H84" i="8" s="1"/>
  <c r="I84" i="8" s="1"/>
  <c r="J84" i="8" s="1"/>
  <c r="F85" i="8"/>
  <c r="G85" i="8" s="1"/>
  <c r="H85" i="8" s="1"/>
  <c r="I85" i="8" s="1"/>
  <c r="J85" i="8" s="1"/>
  <c r="F86" i="8"/>
  <c r="G86" i="8" s="1"/>
  <c r="H86" i="8" s="1"/>
  <c r="I86" i="8" s="1"/>
  <c r="J86" i="8" s="1"/>
  <c r="F87" i="8"/>
  <c r="G87" i="8" s="1"/>
  <c r="H87" i="8" s="1"/>
  <c r="I87" i="8" s="1"/>
  <c r="J87" i="8" s="1"/>
  <c r="F88" i="8"/>
  <c r="G88" i="8" s="1"/>
  <c r="H88" i="8" s="1"/>
  <c r="I88" i="8" s="1"/>
  <c r="J88" i="8" s="1"/>
  <c r="F89" i="8"/>
  <c r="G89" i="8" s="1"/>
  <c r="H89" i="8" s="1"/>
  <c r="I89" i="8" s="1"/>
  <c r="J89" i="8" s="1"/>
  <c r="F90" i="8"/>
  <c r="G90" i="8" s="1"/>
  <c r="H90" i="8" s="1"/>
  <c r="I90" i="8" s="1"/>
  <c r="J90" i="8" s="1"/>
  <c r="F91" i="8"/>
  <c r="G91" i="8" s="1"/>
  <c r="H91" i="8" s="1"/>
  <c r="I91" i="8" s="1"/>
  <c r="J91" i="8" s="1"/>
  <c r="F92" i="8"/>
  <c r="G92" i="8" s="1"/>
  <c r="H92" i="8" s="1"/>
  <c r="I92" i="8" s="1"/>
  <c r="J92" i="8" s="1"/>
  <c r="F93" i="8"/>
  <c r="G93" i="8" s="1"/>
  <c r="H93" i="8" s="1"/>
  <c r="I93" i="8" s="1"/>
  <c r="J93" i="8" s="1"/>
  <c r="F94" i="8"/>
  <c r="G94" i="8" s="1"/>
  <c r="H94" i="8" s="1"/>
  <c r="I94" i="8" s="1"/>
  <c r="J94" i="8" s="1"/>
  <c r="F95" i="8"/>
  <c r="G95" i="8" s="1"/>
  <c r="H95" i="8" s="1"/>
  <c r="I95" i="8" s="1"/>
  <c r="J95" i="8" s="1"/>
  <c r="F96" i="8"/>
  <c r="G96" i="8" s="1"/>
  <c r="H96" i="8" s="1"/>
  <c r="I96" i="8" s="1"/>
  <c r="J96" i="8" s="1"/>
  <c r="F97" i="8"/>
  <c r="G97" i="8" s="1"/>
  <c r="H97" i="8" s="1"/>
  <c r="I97" i="8" s="1"/>
  <c r="J97" i="8" s="1"/>
  <c r="F98" i="8"/>
  <c r="G98" i="8" s="1"/>
  <c r="H98" i="8" s="1"/>
  <c r="I98" i="8" s="1"/>
  <c r="J98" i="8" s="1"/>
  <c r="F99" i="8"/>
  <c r="G99" i="8" s="1"/>
  <c r="H99" i="8" s="1"/>
  <c r="I99" i="8" s="1"/>
  <c r="J99" i="8" s="1"/>
  <c r="F100" i="8"/>
  <c r="G100" i="8" s="1"/>
  <c r="H100" i="8" s="1"/>
  <c r="I100" i="8" s="1"/>
  <c r="J100" i="8" s="1"/>
  <c r="F101" i="8"/>
  <c r="G101" i="8" s="1"/>
  <c r="H101" i="8" s="1"/>
  <c r="I101" i="8" s="1"/>
  <c r="J101" i="8" s="1"/>
  <c r="F102" i="8"/>
  <c r="G102" i="8" s="1"/>
  <c r="H102" i="8" s="1"/>
  <c r="I102" i="8" s="1"/>
  <c r="J102" i="8" s="1"/>
  <c r="F103" i="8"/>
  <c r="G103" i="8" s="1"/>
  <c r="H103" i="8" s="1"/>
  <c r="I103" i="8" s="1"/>
  <c r="J103" i="8" s="1"/>
  <c r="F104" i="8"/>
  <c r="G104" i="8" s="1"/>
  <c r="H104" i="8" s="1"/>
  <c r="I104" i="8" s="1"/>
  <c r="J104" i="8" s="1"/>
  <c r="F105" i="8"/>
  <c r="G105" i="8" s="1"/>
  <c r="H105" i="8" s="1"/>
  <c r="I105" i="8" s="1"/>
  <c r="J105" i="8" s="1"/>
  <c r="F106" i="8"/>
  <c r="G106" i="8" s="1"/>
  <c r="H106" i="8" s="1"/>
  <c r="I106" i="8" s="1"/>
  <c r="J106" i="8" s="1"/>
  <c r="F107" i="8"/>
  <c r="G107" i="8" s="1"/>
  <c r="H107" i="8" s="1"/>
  <c r="I107" i="8" s="1"/>
  <c r="J107" i="8" s="1"/>
  <c r="F108" i="8"/>
  <c r="G108" i="8" s="1"/>
  <c r="H108" i="8" s="1"/>
  <c r="I108" i="8" s="1"/>
  <c r="J108" i="8" s="1"/>
  <c r="F109" i="8"/>
  <c r="G109" i="8" s="1"/>
  <c r="H109" i="8" s="1"/>
  <c r="I109" i="8" s="1"/>
  <c r="J109" i="8" s="1"/>
  <c r="F110" i="8"/>
  <c r="G110" i="8" s="1"/>
  <c r="H110" i="8" s="1"/>
  <c r="I110" i="8" s="1"/>
  <c r="J110" i="8" s="1"/>
  <c r="F111" i="8"/>
  <c r="G111" i="8" s="1"/>
  <c r="H111" i="8" s="1"/>
  <c r="I111" i="8" s="1"/>
  <c r="J111" i="8" s="1"/>
  <c r="F112" i="8"/>
  <c r="G112" i="8" s="1"/>
  <c r="H112" i="8" s="1"/>
  <c r="I112" i="8" s="1"/>
  <c r="J112" i="8" s="1"/>
  <c r="F113" i="8"/>
  <c r="G113" i="8" s="1"/>
  <c r="H113" i="8" s="1"/>
  <c r="I113" i="8" s="1"/>
  <c r="J113" i="8" s="1"/>
  <c r="F114" i="8"/>
  <c r="G114" i="8" s="1"/>
  <c r="H114" i="8" s="1"/>
  <c r="I114" i="8" s="1"/>
  <c r="J114" i="8" s="1"/>
  <c r="F115" i="8"/>
  <c r="G115" i="8" s="1"/>
  <c r="H115" i="8" s="1"/>
  <c r="I115" i="8" s="1"/>
  <c r="J115" i="8" s="1"/>
  <c r="F116" i="8"/>
  <c r="G116" i="8" s="1"/>
  <c r="H116" i="8" s="1"/>
  <c r="I116" i="8" s="1"/>
  <c r="J116" i="8" s="1"/>
  <c r="F117" i="8"/>
  <c r="G117" i="8" s="1"/>
  <c r="H117" i="8" s="1"/>
  <c r="I117" i="8" s="1"/>
  <c r="J117" i="8" s="1"/>
  <c r="F118" i="8"/>
  <c r="G118" i="8" s="1"/>
  <c r="H118" i="8" s="1"/>
  <c r="I118" i="8" s="1"/>
  <c r="J118" i="8" s="1"/>
  <c r="F119" i="8"/>
  <c r="G119" i="8" s="1"/>
  <c r="H119" i="8" s="1"/>
  <c r="I119" i="8" s="1"/>
  <c r="J119" i="8" s="1"/>
  <c r="F120" i="8"/>
  <c r="G120" i="8" s="1"/>
  <c r="H120" i="8" s="1"/>
  <c r="I120" i="8" s="1"/>
  <c r="J120" i="8" s="1"/>
  <c r="F121" i="8"/>
  <c r="G121" i="8" s="1"/>
  <c r="H121" i="8" s="1"/>
  <c r="I121" i="8" s="1"/>
  <c r="J121" i="8" s="1"/>
  <c r="F122" i="8"/>
  <c r="G122" i="8" s="1"/>
  <c r="H122" i="8" s="1"/>
  <c r="I122" i="8" s="1"/>
  <c r="J122" i="8" s="1"/>
  <c r="F123" i="8"/>
  <c r="G123" i="8" s="1"/>
  <c r="H123" i="8" s="1"/>
  <c r="I123" i="8" s="1"/>
  <c r="J123" i="8" s="1"/>
  <c r="F124" i="8"/>
  <c r="G124" i="8" s="1"/>
  <c r="H124" i="8" s="1"/>
  <c r="I124" i="8" s="1"/>
  <c r="J124" i="8" s="1"/>
  <c r="F125" i="8"/>
  <c r="G125" i="8" s="1"/>
  <c r="H125" i="8" s="1"/>
  <c r="I125" i="8" s="1"/>
  <c r="J125" i="8" s="1"/>
  <c r="F126" i="8"/>
  <c r="G126" i="8" s="1"/>
  <c r="H126" i="8" s="1"/>
  <c r="I126" i="8" s="1"/>
  <c r="J126" i="8" s="1"/>
  <c r="F127" i="8"/>
  <c r="G127" i="8" s="1"/>
  <c r="H127" i="8" s="1"/>
  <c r="I127" i="8" s="1"/>
  <c r="J127" i="8" s="1"/>
  <c r="F128" i="8"/>
  <c r="G128" i="8" s="1"/>
  <c r="H128" i="8" s="1"/>
  <c r="I128" i="8" s="1"/>
  <c r="J128" i="8" s="1"/>
  <c r="F129" i="8"/>
  <c r="G129" i="8" s="1"/>
  <c r="H129" i="8" s="1"/>
  <c r="I129" i="8" s="1"/>
  <c r="J129" i="8" s="1"/>
  <c r="F130" i="8"/>
  <c r="G130" i="8" s="1"/>
  <c r="H130" i="8" s="1"/>
  <c r="I130" i="8" s="1"/>
  <c r="J130" i="8" s="1"/>
  <c r="F131" i="8"/>
  <c r="G131" i="8" s="1"/>
  <c r="H131" i="8" s="1"/>
  <c r="I131" i="8" s="1"/>
  <c r="J131" i="8" s="1"/>
  <c r="F132" i="8"/>
  <c r="G132" i="8" s="1"/>
  <c r="H132" i="8" s="1"/>
  <c r="I132" i="8" s="1"/>
  <c r="J132" i="8" s="1"/>
  <c r="F133" i="8"/>
  <c r="G133" i="8" s="1"/>
  <c r="H133" i="8" s="1"/>
  <c r="I133" i="8" s="1"/>
  <c r="J133" i="8" s="1"/>
  <c r="F134" i="8"/>
  <c r="G134" i="8" s="1"/>
  <c r="H134" i="8" s="1"/>
  <c r="I134" i="8" s="1"/>
  <c r="J134" i="8" s="1"/>
  <c r="F135" i="8"/>
  <c r="G135" i="8" s="1"/>
  <c r="H135" i="8" s="1"/>
  <c r="I135" i="8" s="1"/>
  <c r="J135" i="8" s="1"/>
  <c r="F136" i="8"/>
  <c r="G136" i="8" s="1"/>
  <c r="H136" i="8" s="1"/>
  <c r="I136" i="8" s="1"/>
  <c r="J136" i="8" s="1"/>
  <c r="F137" i="8"/>
  <c r="G137" i="8" s="1"/>
  <c r="H137" i="8" s="1"/>
  <c r="I137" i="8" s="1"/>
  <c r="J137" i="8" s="1"/>
  <c r="F138" i="8"/>
  <c r="G138" i="8" s="1"/>
  <c r="H138" i="8" s="1"/>
  <c r="I138" i="8" s="1"/>
  <c r="J138" i="8" s="1"/>
  <c r="F139" i="8"/>
  <c r="G139" i="8" s="1"/>
  <c r="H139" i="8" s="1"/>
  <c r="I139" i="8" s="1"/>
  <c r="J139" i="8" s="1"/>
  <c r="F140" i="8"/>
  <c r="G140" i="8" s="1"/>
  <c r="H140" i="8" s="1"/>
  <c r="I140" i="8" s="1"/>
  <c r="J140" i="8" s="1"/>
  <c r="F141" i="8"/>
  <c r="G141" i="8" s="1"/>
  <c r="H141" i="8" s="1"/>
  <c r="I141" i="8" s="1"/>
  <c r="J141" i="8" s="1"/>
  <c r="F142" i="8"/>
  <c r="G142" i="8" s="1"/>
  <c r="H142" i="8" s="1"/>
  <c r="I142" i="8" s="1"/>
  <c r="J142" i="8" s="1"/>
  <c r="F143" i="8"/>
  <c r="G143" i="8" s="1"/>
  <c r="H143" i="8" s="1"/>
  <c r="I143" i="8" s="1"/>
  <c r="J143" i="8" s="1"/>
  <c r="F144" i="8"/>
  <c r="G144" i="8" s="1"/>
  <c r="H144" i="8" s="1"/>
  <c r="I144" i="8" s="1"/>
  <c r="J144" i="8" s="1"/>
  <c r="F145" i="8"/>
  <c r="G145" i="8" s="1"/>
  <c r="H145" i="8" s="1"/>
  <c r="I145" i="8" s="1"/>
  <c r="J145" i="8" s="1"/>
  <c r="F146" i="8"/>
  <c r="G146" i="8" s="1"/>
  <c r="H146" i="8" s="1"/>
  <c r="I146" i="8" s="1"/>
  <c r="J146" i="8" s="1"/>
  <c r="F147" i="8"/>
  <c r="G147" i="8" s="1"/>
  <c r="H147" i="8" s="1"/>
  <c r="I147" i="8" s="1"/>
  <c r="J147" i="8" s="1"/>
  <c r="F148" i="8"/>
  <c r="G148" i="8" s="1"/>
  <c r="H148" i="8" s="1"/>
  <c r="I148" i="8" s="1"/>
  <c r="J148" i="8" s="1"/>
  <c r="F149" i="8"/>
  <c r="G149" i="8" s="1"/>
  <c r="H149" i="8" s="1"/>
  <c r="I149" i="8" s="1"/>
  <c r="J149" i="8" s="1"/>
  <c r="F150" i="8"/>
  <c r="G150" i="8" s="1"/>
  <c r="H150" i="8" s="1"/>
  <c r="I150" i="8" s="1"/>
  <c r="J150" i="8" s="1"/>
  <c r="F151" i="8"/>
  <c r="G151" i="8" s="1"/>
  <c r="H151" i="8" s="1"/>
  <c r="I151" i="8" s="1"/>
  <c r="J151" i="8" s="1"/>
  <c r="F152" i="8"/>
  <c r="G152" i="8" s="1"/>
  <c r="H152" i="8" s="1"/>
  <c r="I152" i="8" s="1"/>
  <c r="J152" i="8" s="1"/>
  <c r="F153" i="8"/>
  <c r="G153" i="8" s="1"/>
  <c r="H153" i="8" s="1"/>
  <c r="I153" i="8" s="1"/>
  <c r="J153" i="8" s="1"/>
  <c r="F154" i="8"/>
  <c r="G154" i="8" s="1"/>
  <c r="H154" i="8" s="1"/>
  <c r="I154" i="8" s="1"/>
  <c r="J154" i="8" s="1"/>
  <c r="F155" i="8"/>
  <c r="G155" i="8" s="1"/>
  <c r="H155" i="8" s="1"/>
  <c r="I155" i="8" s="1"/>
  <c r="J155" i="8" s="1"/>
  <c r="F156" i="8"/>
  <c r="G156" i="8" s="1"/>
  <c r="H156" i="8" s="1"/>
  <c r="I156" i="8" s="1"/>
  <c r="J156" i="8" s="1"/>
  <c r="F157" i="8"/>
  <c r="G157" i="8" s="1"/>
  <c r="H157" i="8" s="1"/>
  <c r="I157" i="8" s="1"/>
  <c r="J157" i="8" s="1"/>
  <c r="F158" i="8"/>
  <c r="G158" i="8" s="1"/>
  <c r="H158" i="8" s="1"/>
  <c r="I158" i="8" s="1"/>
  <c r="J158" i="8" s="1"/>
  <c r="F159" i="8"/>
  <c r="G159" i="8" s="1"/>
  <c r="H159" i="8" s="1"/>
  <c r="I159" i="8" s="1"/>
  <c r="J159" i="8" s="1"/>
  <c r="F160" i="8"/>
  <c r="G160" i="8" s="1"/>
  <c r="H160" i="8" s="1"/>
  <c r="I160" i="8" s="1"/>
  <c r="J160" i="8" s="1"/>
  <c r="F161" i="8"/>
  <c r="G161" i="8" s="1"/>
  <c r="H161" i="8" s="1"/>
  <c r="I161" i="8" s="1"/>
  <c r="J161" i="8" s="1"/>
  <c r="F162" i="8"/>
  <c r="G162" i="8" s="1"/>
  <c r="H162" i="8" s="1"/>
  <c r="I162" i="8" s="1"/>
  <c r="J162" i="8" s="1"/>
  <c r="F163" i="8"/>
  <c r="G163" i="8" s="1"/>
  <c r="H163" i="8" s="1"/>
  <c r="I163" i="8" s="1"/>
  <c r="J163" i="8" s="1"/>
  <c r="F164" i="8"/>
  <c r="G164" i="8" s="1"/>
  <c r="H164" i="8" s="1"/>
  <c r="I164" i="8" s="1"/>
  <c r="J164" i="8" s="1"/>
  <c r="F165" i="8"/>
  <c r="G165" i="8" s="1"/>
  <c r="H165" i="8" s="1"/>
  <c r="I165" i="8" s="1"/>
  <c r="J165" i="8" s="1"/>
  <c r="F166" i="8"/>
  <c r="G166" i="8" s="1"/>
  <c r="H166" i="8" s="1"/>
  <c r="I166" i="8" s="1"/>
  <c r="J166" i="8" s="1"/>
  <c r="F167" i="8"/>
  <c r="G167" i="8" s="1"/>
  <c r="H167" i="8" s="1"/>
  <c r="I167" i="8" s="1"/>
  <c r="J167" i="8" s="1"/>
  <c r="F168" i="8"/>
  <c r="G168" i="8" s="1"/>
  <c r="H168" i="8" s="1"/>
  <c r="I168" i="8" s="1"/>
  <c r="J168" i="8" s="1"/>
  <c r="F169" i="8"/>
  <c r="G169" i="8" s="1"/>
  <c r="H169" i="8" s="1"/>
  <c r="I169" i="8" s="1"/>
  <c r="J169" i="8" s="1"/>
  <c r="F170" i="8"/>
  <c r="G170" i="8" s="1"/>
  <c r="H170" i="8" s="1"/>
  <c r="I170" i="8" s="1"/>
  <c r="J170" i="8" s="1"/>
  <c r="F171" i="8"/>
  <c r="G171" i="8" s="1"/>
  <c r="H171" i="8" s="1"/>
  <c r="I171" i="8" s="1"/>
  <c r="J171" i="8" s="1"/>
  <c r="F172" i="8"/>
  <c r="G172" i="8" s="1"/>
  <c r="H172" i="8" s="1"/>
  <c r="I172" i="8" s="1"/>
  <c r="J172" i="8" s="1"/>
  <c r="F173" i="8"/>
  <c r="G173" i="8" s="1"/>
  <c r="H173" i="8" s="1"/>
  <c r="I173" i="8" s="1"/>
  <c r="J173" i="8" s="1"/>
  <c r="F174" i="8"/>
  <c r="G174" i="8" s="1"/>
  <c r="H174" i="8" s="1"/>
  <c r="I174" i="8" s="1"/>
  <c r="J174" i="8" s="1"/>
  <c r="F175" i="8"/>
  <c r="G175" i="8" s="1"/>
  <c r="H175" i="8" s="1"/>
  <c r="I175" i="8" s="1"/>
  <c r="J175" i="8" s="1"/>
  <c r="F176" i="8"/>
  <c r="G176" i="8" s="1"/>
  <c r="H176" i="8" s="1"/>
  <c r="I176" i="8" s="1"/>
  <c r="J176" i="8" s="1"/>
  <c r="F177" i="8"/>
  <c r="G177" i="8" s="1"/>
  <c r="H177" i="8" s="1"/>
  <c r="I177" i="8" s="1"/>
  <c r="J177" i="8" s="1"/>
  <c r="F178" i="8"/>
  <c r="G178" i="8" s="1"/>
  <c r="H178" i="8" s="1"/>
  <c r="I178" i="8" s="1"/>
  <c r="J178" i="8" s="1"/>
  <c r="F179" i="8"/>
  <c r="G179" i="8" s="1"/>
  <c r="H179" i="8" s="1"/>
  <c r="I179" i="8" s="1"/>
  <c r="J179" i="8" s="1"/>
  <c r="F180" i="8"/>
  <c r="G180" i="8" s="1"/>
  <c r="H180" i="8" s="1"/>
  <c r="I180" i="8" s="1"/>
  <c r="J180" i="8" s="1"/>
  <c r="F181" i="8"/>
  <c r="G181" i="8" s="1"/>
  <c r="H181" i="8" s="1"/>
  <c r="I181" i="8" s="1"/>
  <c r="J181" i="8" s="1"/>
  <c r="F182" i="8"/>
  <c r="G182" i="8" s="1"/>
  <c r="H182" i="8" s="1"/>
  <c r="I182" i="8" s="1"/>
  <c r="J182" i="8" s="1"/>
  <c r="F183" i="8"/>
  <c r="G183" i="8" s="1"/>
  <c r="H183" i="8" s="1"/>
  <c r="I183" i="8" s="1"/>
  <c r="J183" i="8" s="1"/>
  <c r="F184" i="8"/>
  <c r="G184" i="8" s="1"/>
  <c r="H184" i="8" s="1"/>
  <c r="I184" i="8" s="1"/>
  <c r="J184" i="8" s="1"/>
  <c r="F185" i="8"/>
  <c r="G185" i="8" s="1"/>
  <c r="H185" i="8" s="1"/>
  <c r="I185" i="8" s="1"/>
  <c r="J185" i="8" s="1"/>
  <c r="F186" i="8"/>
  <c r="G186" i="8" s="1"/>
  <c r="H186" i="8" s="1"/>
  <c r="I186" i="8" s="1"/>
  <c r="J186" i="8" s="1"/>
  <c r="F187" i="8"/>
  <c r="G187" i="8" s="1"/>
  <c r="H187" i="8" s="1"/>
  <c r="I187" i="8" s="1"/>
  <c r="J187" i="8" s="1"/>
  <c r="F188" i="8"/>
  <c r="G188" i="8" s="1"/>
  <c r="H188" i="8" s="1"/>
  <c r="I188" i="8" s="1"/>
  <c r="J188" i="8" s="1"/>
  <c r="F189" i="8"/>
  <c r="G189" i="8" s="1"/>
  <c r="H189" i="8" s="1"/>
  <c r="I189" i="8" s="1"/>
  <c r="J189" i="8" s="1"/>
  <c r="F190" i="8"/>
  <c r="G190" i="8" s="1"/>
  <c r="H190" i="8" s="1"/>
  <c r="I190" i="8" s="1"/>
  <c r="J190" i="8" s="1"/>
  <c r="F191" i="8"/>
  <c r="G191" i="8" s="1"/>
  <c r="H191" i="8" s="1"/>
  <c r="I191" i="8" s="1"/>
  <c r="J191" i="8" s="1"/>
  <c r="F192" i="8"/>
  <c r="G192" i="8" s="1"/>
  <c r="H192" i="8" s="1"/>
  <c r="I192" i="8" s="1"/>
  <c r="J192" i="8" s="1"/>
  <c r="F193" i="8"/>
  <c r="G193" i="8" s="1"/>
  <c r="H193" i="8" s="1"/>
  <c r="I193" i="8" s="1"/>
  <c r="J193" i="8" s="1"/>
  <c r="F194" i="8"/>
  <c r="G194" i="8" s="1"/>
  <c r="H194" i="8" s="1"/>
  <c r="I194" i="8" s="1"/>
  <c r="J194" i="8" s="1"/>
  <c r="F195" i="8"/>
  <c r="G195" i="8" s="1"/>
  <c r="H195" i="8" s="1"/>
  <c r="I195" i="8" s="1"/>
  <c r="J195" i="8" s="1"/>
  <c r="F196" i="8"/>
  <c r="G196" i="8" s="1"/>
  <c r="H196" i="8" s="1"/>
  <c r="I196" i="8" s="1"/>
  <c r="J196" i="8" s="1"/>
  <c r="F197" i="8"/>
  <c r="G197" i="8" s="1"/>
  <c r="H197" i="8" s="1"/>
  <c r="I197" i="8" s="1"/>
  <c r="J197" i="8" s="1"/>
  <c r="F198" i="8"/>
  <c r="G198" i="8" s="1"/>
  <c r="H198" i="8" s="1"/>
  <c r="I198" i="8" s="1"/>
  <c r="J198" i="8" s="1"/>
  <c r="F199" i="8"/>
  <c r="G199" i="8" s="1"/>
  <c r="H199" i="8" s="1"/>
  <c r="I199" i="8" s="1"/>
  <c r="J199" i="8" s="1"/>
  <c r="F200" i="8"/>
  <c r="G200" i="8" s="1"/>
  <c r="H200" i="8" s="1"/>
  <c r="I200" i="8" s="1"/>
  <c r="J200" i="8" s="1"/>
  <c r="F201" i="8"/>
  <c r="G201" i="8" s="1"/>
  <c r="H201" i="8" s="1"/>
  <c r="I201" i="8" s="1"/>
  <c r="J201" i="8" s="1"/>
  <c r="F202" i="8"/>
  <c r="G202" i="8" s="1"/>
  <c r="H202" i="8" s="1"/>
  <c r="I202" i="8" s="1"/>
  <c r="J202" i="8" s="1"/>
  <c r="F203" i="8"/>
  <c r="G203" i="8" s="1"/>
  <c r="H203" i="8" s="1"/>
  <c r="I203" i="8" s="1"/>
  <c r="J203" i="8" s="1"/>
  <c r="F204" i="8"/>
  <c r="G204" i="8" s="1"/>
  <c r="H204" i="8" s="1"/>
  <c r="I204" i="8" s="1"/>
  <c r="J204" i="8" s="1"/>
  <c r="F205" i="8"/>
  <c r="G205" i="8" s="1"/>
  <c r="H205" i="8" s="1"/>
  <c r="I205" i="8" s="1"/>
  <c r="J205" i="8" s="1"/>
  <c r="F206" i="8"/>
  <c r="G206" i="8" s="1"/>
  <c r="H206" i="8" s="1"/>
  <c r="I206" i="8" s="1"/>
  <c r="J206" i="8" s="1"/>
  <c r="F207" i="8"/>
  <c r="G207" i="8" s="1"/>
  <c r="H207" i="8" s="1"/>
  <c r="I207" i="8" s="1"/>
  <c r="J207" i="8" s="1"/>
  <c r="F208" i="8"/>
  <c r="G208" i="8" s="1"/>
  <c r="H208" i="8" s="1"/>
  <c r="I208" i="8" s="1"/>
  <c r="J208" i="8" s="1"/>
  <c r="F209" i="8"/>
  <c r="G209" i="8" s="1"/>
  <c r="H209" i="8" s="1"/>
  <c r="I209" i="8" s="1"/>
  <c r="J209" i="8" s="1"/>
  <c r="F210" i="8"/>
  <c r="G210" i="8" s="1"/>
  <c r="H210" i="8" s="1"/>
  <c r="I210" i="8" s="1"/>
  <c r="J210" i="8" s="1"/>
  <c r="F211" i="8"/>
  <c r="G211" i="8" s="1"/>
  <c r="H211" i="8" s="1"/>
  <c r="I211" i="8" s="1"/>
  <c r="J211" i="8" s="1"/>
  <c r="F212" i="8"/>
  <c r="G212" i="8" s="1"/>
  <c r="H212" i="8" s="1"/>
  <c r="I212" i="8" s="1"/>
  <c r="J212" i="8" s="1"/>
  <c r="F213" i="8"/>
  <c r="G213" i="8" s="1"/>
  <c r="H213" i="8" s="1"/>
  <c r="I213" i="8" s="1"/>
  <c r="J213" i="8" s="1"/>
  <c r="F214" i="8"/>
  <c r="G214" i="8" s="1"/>
  <c r="H214" i="8" s="1"/>
  <c r="I214" i="8" s="1"/>
  <c r="J214" i="8" s="1"/>
  <c r="F215" i="8"/>
  <c r="G215" i="8" s="1"/>
  <c r="H215" i="8" s="1"/>
  <c r="I215" i="8" s="1"/>
  <c r="J215" i="8" s="1"/>
  <c r="F216" i="8"/>
  <c r="G216" i="8" s="1"/>
  <c r="H216" i="8" s="1"/>
  <c r="I216" i="8" s="1"/>
  <c r="J216" i="8" s="1"/>
  <c r="F217" i="8"/>
  <c r="G217" i="8" s="1"/>
  <c r="H217" i="8" s="1"/>
  <c r="I217" i="8" s="1"/>
  <c r="J217" i="8" s="1"/>
  <c r="F218" i="8"/>
  <c r="G218" i="8" s="1"/>
  <c r="H218" i="8" s="1"/>
  <c r="I218" i="8" s="1"/>
  <c r="J218" i="8" s="1"/>
  <c r="F219" i="8"/>
  <c r="G219" i="8" s="1"/>
  <c r="H219" i="8" s="1"/>
  <c r="I219" i="8" s="1"/>
  <c r="J219" i="8" s="1"/>
  <c r="F220" i="8"/>
  <c r="G220" i="8" s="1"/>
  <c r="H220" i="8" s="1"/>
  <c r="I220" i="8" s="1"/>
  <c r="J220" i="8" s="1"/>
  <c r="F221" i="8"/>
  <c r="G221" i="8" s="1"/>
  <c r="H221" i="8" s="1"/>
  <c r="I221" i="8" s="1"/>
  <c r="J221" i="8" s="1"/>
  <c r="F222" i="8"/>
  <c r="G222" i="8" s="1"/>
  <c r="H222" i="8" s="1"/>
  <c r="I222" i="8" s="1"/>
  <c r="J222" i="8" s="1"/>
  <c r="F223" i="8"/>
  <c r="G223" i="8" s="1"/>
  <c r="H223" i="8" s="1"/>
  <c r="I223" i="8" s="1"/>
  <c r="J223" i="8" s="1"/>
  <c r="F224" i="8"/>
  <c r="G224" i="8" s="1"/>
  <c r="H224" i="8" s="1"/>
  <c r="I224" i="8" s="1"/>
  <c r="J224" i="8" s="1"/>
  <c r="F225" i="8"/>
  <c r="G225" i="8" s="1"/>
  <c r="H225" i="8" s="1"/>
  <c r="I225" i="8" s="1"/>
  <c r="J225" i="8" s="1"/>
  <c r="F226" i="8"/>
  <c r="G226" i="8" s="1"/>
  <c r="H226" i="8" s="1"/>
  <c r="I226" i="8" s="1"/>
  <c r="J226" i="8" s="1"/>
  <c r="F227" i="8"/>
  <c r="G227" i="8" s="1"/>
  <c r="H227" i="8" s="1"/>
  <c r="I227" i="8" s="1"/>
  <c r="J227" i="8" s="1"/>
  <c r="F228" i="8"/>
  <c r="G228" i="8" s="1"/>
  <c r="H228" i="8" s="1"/>
  <c r="I228" i="8" s="1"/>
  <c r="J228" i="8" s="1"/>
  <c r="F229" i="8"/>
  <c r="G229" i="8" s="1"/>
  <c r="H229" i="8" s="1"/>
  <c r="I229" i="8" s="1"/>
  <c r="J229" i="8" s="1"/>
  <c r="F230" i="8"/>
  <c r="G230" i="8" s="1"/>
  <c r="H230" i="8" s="1"/>
  <c r="I230" i="8" s="1"/>
  <c r="J230" i="8" s="1"/>
  <c r="F231" i="8"/>
  <c r="G231" i="8" s="1"/>
  <c r="H231" i="8" s="1"/>
  <c r="I231" i="8" s="1"/>
  <c r="J231" i="8" s="1"/>
  <c r="F232" i="8"/>
  <c r="G232" i="8" s="1"/>
  <c r="H232" i="8" s="1"/>
  <c r="I232" i="8" s="1"/>
  <c r="J232" i="8" s="1"/>
  <c r="F233" i="8"/>
  <c r="G233" i="8" s="1"/>
  <c r="H233" i="8" s="1"/>
  <c r="I233" i="8" s="1"/>
  <c r="J233" i="8" s="1"/>
  <c r="F234" i="8"/>
  <c r="G234" i="8" s="1"/>
  <c r="H234" i="8" s="1"/>
  <c r="I234" i="8" s="1"/>
  <c r="J234" i="8" s="1"/>
  <c r="F235" i="8"/>
  <c r="G235" i="8" s="1"/>
  <c r="H235" i="8" s="1"/>
  <c r="I235" i="8" s="1"/>
  <c r="J235" i="8" s="1"/>
  <c r="F236" i="8"/>
  <c r="G236" i="8" s="1"/>
  <c r="H236" i="8" s="1"/>
  <c r="I236" i="8" s="1"/>
  <c r="J236" i="8" s="1"/>
  <c r="F237" i="8"/>
  <c r="G237" i="8" s="1"/>
  <c r="H237" i="8" s="1"/>
  <c r="I237" i="8" s="1"/>
  <c r="J237" i="8" s="1"/>
  <c r="F238" i="8"/>
  <c r="G238" i="8" s="1"/>
  <c r="H238" i="8" s="1"/>
  <c r="I238" i="8" s="1"/>
  <c r="J238" i="8" s="1"/>
  <c r="F239" i="8"/>
  <c r="G239" i="8" s="1"/>
  <c r="H239" i="8" s="1"/>
  <c r="I239" i="8" s="1"/>
  <c r="J239" i="8" s="1"/>
  <c r="F240" i="8"/>
  <c r="G240" i="8" s="1"/>
  <c r="H240" i="8" s="1"/>
  <c r="I240" i="8" s="1"/>
  <c r="J240" i="8" s="1"/>
  <c r="F241" i="8"/>
  <c r="G241" i="8" s="1"/>
  <c r="H241" i="8" s="1"/>
  <c r="I241" i="8" s="1"/>
  <c r="J241" i="8" s="1"/>
  <c r="F242" i="8"/>
  <c r="G242" i="8" s="1"/>
  <c r="H242" i="8" s="1"/>
  <c r="I242" i="8" s="1"/>
  <c r="J242" i="8" s="1"/>
  <c r="F243" i="8"/>
  <c r="G243" i="8" s="1"/>
  <c r="H243" i="8" s="1"/>
  <c r="I243" i="8" s="1"/>
  <c r="J243" i="8" s="1"/>
  <c r="F244" i="8"/>
  <c r="G244" i="8" s="1"/>
  <c r="H244" i="8" s="1"/>
  <c r="I244" i="8" s="1"/>
  <c r="J244" i="8" s="1"/>
  <c r="F245" i="8"/>
  <c r="G245" i="8" s="1"/>
  <c r="H245" i="8" s="1"/>
  <c r="I245" i="8" s="1"/>
  <c r="J245" i="8" s="1"/>
  <c r="F246" i="8"/>
  <c r="G246" i="8" s="1"/>
  <c r="H246" i="8" s="1"/>
  <c r="I246" i="8" s="1"/>
  <c r="J246" i="8" s="1"/>
  <c r="F247" i="8"/>
  <c r="G247" i="8" s="1"/>
  <c r="H247" i="8" s="1"/>
  <c r="I247" i="8" s="1"/>
  <c r="J247" i="8" s="1"/>
  <c r="F248" i="8"/>
  <c r="G248" i="8" s="1"/>
  <c r="H248" i="8" s="1"/>
  <c r="I248" i="8" s="1"/>
  <c r="J248" i="8" s="1"/>
  <c r="F249" i="8"/>
  <c r="G249" i="8" s="1"/>
  <c r="H249" i="8" s="1"/>
  <c r="I249" i="8" s="1"/>
  <c r="J249" i="8" s="1"/>
  <c r="F250" i="8"/>
  <c r="G250" i="8" s="1"/>
  <c r="H250" i="8" s="1"/>
  <c r="I250" i="8" s="1"/>
  <c r="J250" i="8" s="1"/>
  <c r="F251" i="8"/>
  <c r="G251" i="8" s="1"/>
  <c r="H251" i="8" s="1"/>
  <c r="I251" i="8" s="1"/>
  <c r="J251" i="8" s="1"/>
  <c r="F252" i="8"/>
  <c r="G252" i="8" s="1"/>
  <c r="H252" i="8" s="1"/>
  <c r="I252" i="8" s="1"/>
  <c r="J252" i="8" s="1"/>
  <c r="F253" i="8"/>
  <c r="G253" i="8" s="1"/>
  <c r="H253" i="8" s="1"/>
  <c r="I253" i="8" s="1"/>
  <c r="J253" i="8" s="1"/>
  <c r="F254" i="8"/>
  <c r="G254" i="8" s="1"/>
  <c r="H254" i="8" s="1"/>
  <c r="I254" i="8" s="1"/>
  <c r="J254" i="8" s="1"/>
  <c r="F255" i="8"/>
  <c r="G255" i="8" s="1"/>
  <c r="H255" i="8" s="1"/>
  <c r="I255" i="8" s="1"/>
  <c r="J255" i="8" s="1"/>
  <c r="F256" i="8"/>
  <c r="G256" i="8" s="1"/>
  <c r="H256" i="8" s="1"/>
  <c r="I256" i="8" s="1"/>
  <c r="J256" i="8" s="1"/>
  <c r="F257" i="8"/>
  <c r="G257" i="8" s="1"/>
  <c r="H257" i="8" s="1"/>
  <c r="I257" i="8" s="1"/>
  <c r="J257" i="8" s="1"/>
  <c r="F258" i="8"/>
  <c r="G258" i="8" s="1"/>
  <c r="H258" i="8" s="1"/>
  <c r="I258" i="8" s="1"/>
  <c r="J258" i="8" s="1"/>
  <c r="F259" i="8"/>
  <c r="G259" i="8" s="1"/>
  <c r="H259" i="8" s="1"/>
  <c r="I259" i="8" s="1"/>
  <c r="J259" i="8" s="1"/>
  <c r="F260" i="8"/>
  <c r="G260" i="8" s="1"/>
  <c r="H260" i="8" s="1"/>
  <c r="I260" i="8" s="1"/>
  <c r="J260" i="8" s="1"/>
  <c r="F261" i="8"/>
  <c r="G261" i="8" s="1"/>
  <c r="H261" i="8" s="1"/>
  <c r="I261" i="8" s="1"/>
  <c r="J261" i="8" s="1"/>
  <c r="F262" i="8"/>
  <c r="G262" i="8" s="1"/>
  <c r="H262" i="8" s="1"/>
  <c r="I262" i="8" s="1"/>
  <c r="J262" i="8" s="1"/>
  <c r="F263" i="8"/>
  <c r="G263" i="8" s="1"/>
  <c r="H263" i="8" s="1"/>
  <c r="I263" i="8" s="1"/>
  <c r="J263" i="8" s="1"/>
  <c r="F264" i="8"/>
  <c r="G264" i="8" s="1"/>
  <c r="H264" i="8" s="1"/>
  <c r="I264" i="8" s="1"/>
  <c r="J264" i="8" s="1"/>
  <c r="F265" i="8"/>
  <c r="G265" i="8" s="1"/>
  <c r="H265" i="8" s="1"/>
  <c r="I265" i="8" s="1"/>
  <c r="J265" i="8" s="1"/>
  <c r="F266" i="8"/>
  <c r="G266" i="8" s="1"/>
  <c r="H266" i="8" s="1"/>
  <c r="I266" i="8" s="1"/>
  <c r="J266" i="8" s="1"/>
  <c r="F267" i="8"/>
  <c r="G267" i="8" s="1"/>
  <c r="H267" i="8" s="1"/>
  <c r="I267" i="8" s="1"/>
  <c r="J267" i="8" s="1"/>
  <c r="F268" i="8"/>
  <c r="G268" i="8" s="1"/>
  <c r="H268" i="8" s="1"/>
  <c r="I268" i="8" s="1"/>
  <c r="J268" i="8" s="1"/>
  <c r="F269" i="8"/>
  <c r="G269" i="8" s="1"/>
  <c r="H269" i="8" s="1"/>
  <c r="I269" i="8" s="1"/>
  <c r="J269" i="8" s="1"/>
  <c r="F270" i="8"/>
  <c r="G270" i="8" s="1"/>
  <c r="H270" i="8" s="1"/>
  <c r="I270" i="8" s="1"/>
  <c r="J270" i="8" s="1"/>
  <c r="F271" i="8"/>
  <c r="G271" i="8" s="1"/>
  <c r="H271" i="8" s="1"/>
  <c r="I271" i="8" s="1"/>
  <c r="J271" i="8" s="1"/>
  <c r="F272" i="8"/>
  <c r="G272" i="8" s="1"/>
  <c r="H272" i="8" s="1"/>
  <c r="I272" i="8" s="1"/>
  <c r="J272" i="8" s="1"/>
  <c r="F273" i="8"/>
  <c r="G273" i="8" s="1"/>
  <c r="H273" i="8" s="1"/>
  <c r="I273" i="8" s="1"/>
  <c r="J273" i="8" s="1"/>
  <c r="F274" i="8"/>
  <c r="G274" i="8" s="1"/>
  <c r="H274" i="8" s="1"/>
  <c r="I274" i="8" s="1"/>
  <c r="J274" i="8" s="1"/>
  <c r="F275" i="8"/>
  <c r="G275" i="8" s="1"/>
  <c r="H275" i="8" s="1"/>
  <c r="I275" i="8" s="1"/>
  <c r="J275" i="8" s="1"/>
  <c r="F276" i="8"/>
  <c r="G276" i="8" s="1"/>
  <c r="H276" i="8" s="1"/>
  <c r="I276" i="8" s="1"/>
  <c r="J276" i="8" s="1"/>
  <c r="F277" i="8"/>
  <c r="G277" i="8" s="1"/>
  <c r="H277" i="8" s="1"/>
  <c r="I277" i="8" s="1"/>
  <c r="J277" i="8" s="1"/>
  <c r="F278" i="8"/>
  <c r="G278" i="8" s="1"/>
  <c r="H278" i="8" s="1"/>
  <c r="I278" i="8" s="1"/>
  <c r="J278" i="8" s="1"/>
  <c r="F279" i="8"/>
  <c r="G279" i="8" s="1"/>
  <c r="H279" i="8" s="1"/>
  <c r="I279" i="8" s="1"/>
  <c r="J279" i="8" s="1"/>
  <c r="F280" i="8"/>
  <c r="G280" i="8" s="1"/>
  <c r="H280" i="8" s="1"/>
  <c r="I280" i="8" s="1"/>
  <c r="J280" i="8" s="1"/>
  <c r="F281" i="8"/>
  <c r="G281" i="8" s="1"/>
  <c r="H281" i="8" s="1"/>
  <c r="I281" i="8" s="1"/>
  <c r="J281" i="8" s="1"/>
  <c r="F282" i="8"/>
  <c r="G282" i="8" s="1"/>
  <c r="H282" i="8" s="1"/>
  <c r="I282" i="8" s="1"/>
  <c r="J282" i="8" s="1"/>
  <c r="F283" i="8"/>
  <c r="G283" i="8" s="1"/>
  <c r="H283" i="8" s="1"/>
  <c r="I283" i="8" s="1"/>
  <c r="J283" i="8" s="1"/>
  <c r="F284" i="8"/>
  <c r="G284" i="8" s="1"/>
  <c r="H284" i="8" s="1"/>
  <c r="I284" i="8" s="1"/>
  <c r="J284" i="8" s="1"/>
  <c r="F285" i="8"/>
  <c r="G285" i="8" s="1"/>
  <c r="H285" i="8" s="1"/>
  <c r="I285" i="8" s="1"/>
  <c r="J285" i="8" s="1"/>
  <c r="F286" i="8"/>
  <c r="G286" i="8" s="1"/>
  <c r="H286" i="8" s="1"/>
  <c r="I286" i="8" s="1"/>
  <c r="J286" i="8" s="1"/>
  <c r="F287" i="8"/>
  <c r="G287" i="8" s="1"/>
  <c r="H287" i="8" s="1"/>
  <c r="I287" i="8" s="1"/>
  <c r="J287" i="8" s="1"/>
  <c r="F288" i="8"/>
  <c r="G288" i="8" s="1"/>
  <c r="H288" i="8" s="1"/>
  <c r="I288" i="8" s="1"/>
  <c r="J288" i="8" s="1"/>
  <c r="F289" i="8"/>
  <c r="G289" i="8" s="1"/>
  <c r="H289" i="8" s="1"/>
  <c r="I289" i="8" s="1"/>
  <c r="J289" i="8" s="1"/>
  <c r="F290" i="8"/>
  <c r="G290" i="8" s="1"/>
  <c r="H290" i="8" s="1"/>
  <c r="I290" i="8" s="1"/>
  <c r="J290" i="8" s="1"/>
  <c r="F291" i="8"/>
  <c r="G291" i="8" s="1"/>
  <c r="H291" i="8" s="1"/>
  <c r="I291" i="8" s="1"/>
  <c r="J291" i="8" s="1"/>
  <c r="F292" i="8"/>
  <c r="G292" i="8" s="1"/>
  <c r="H292" i="8" s="1"/>
  <c r="I292" i="8" s="1"/>
  <c r="J292" i="8" s="1"/>
  <c r="F293" i="8"/>
  <c r="G293" i="8" s="1"/>
  <c r="H293" i="8" s="1"/>
  <c r="I293" i="8" s="1"/>
  <c r="J293" i="8" s="1"/>
  <c r="F294" i="8"/>
  <c r="G294" i="8" s="1"/>
  <c r="H294" i="8" s="1"/>
  <c r="I294" i="8" s="1"/>
  <c r="J294" i="8" s="1"/>
  <c r="F295" i="8"/>
  <c r="G295" i="8" s="1"/>
  <c r="H295" i="8" s="1"/>
  <c r="I295" i="8" s="1"/>
  <c r="J295" i="8" s="1"/>
  <c r="F296" i="8"/>
  <c r="F297" i="8"/>
  <c r="G297" i="8" s="1"/>
  <c r="H297" i="8" s="1"/>
  <c r="I297" i="8" s="1"/>
  <c r="J297" i="8" s="1"/>
  <c r="F298" i="8"/>
  <c r="G298" i="8" s="1"/>
  <c r="H298" i="8" s="1"/>
  <c r="I298" i="8" s="1"/>
  <c r="J298" i="8" s="1"/>
  <c r="F299" i="8"/>
  <c r="F300" i="8"/>
  <c r="G300" i="8" s="1"/>
  <c r="H300" i="8" s="1"/>
  <c r="I300" i="8" s="1"/>
  <c r="J300" i="8" s="1"/>
  <c r="F301" i="8"/>
  <c r="G301" i="8" s="1"/>
  <c r="H301" i="8" s="1"/>
  <c r="I301" i="8" s="1"/>
  <c r="J301" i="8" s="1"/>
  <c r="F302" i="8"/>
  <c r="G302" i="8" s="1"/>
  <c r="H302" i="8" s="1"/>
  <c r="I302" i="8" s="1"/>
  <c r="J302" i="8" s="1"/>
  <c r="F303" i="8"/>
  <c r="G303" i="8" s="1"/>
  <c r="H303" i="8" s="1"/>
  <c r="I303" i="8" s="1"/>
  <c r="J303" i="8" s="1"/>
  <c r="F304" i="8"/>
  <c r="F305" i="8"/>
  <c r="G305" i="8" s="1"/>
  <c r="H305" i="8" s="1"/>
  <c r="I305" i="8" s="1"/>
  <c r="J305" i="8" s="1"/>
  <c r="F306" i="8"/>
  <c r="G306" i="8" s="1"/>
  <c r="H306" i="8" s="1"/>
  <c r="I306" i="8" s="1"/>
  <c r="J306" i="8" s="1"/>
  <c r="F307" i="8"/>
  <c r="F308" i="8"/>
  <c r="G308" i="8" s="1"/>
  <c r="H308" i="8" s="1"/>
  <c r="I308" i="8" s="1"/>
  <c r="J308" i="8" s="1"/>
  <c r="F309" i="8"/>
  <c r="G309" i="8" s="1"/>
  <c r="H309" i="8" s="1"/>
  <c r="I309" i="8" s="1"/>
  <c r="J309" i="8" s="1"/>
  <c r="F310" i="8"/>
  <c r="G310" i="8" s="1"/>
  <c r="H310" i="8" s="1"/>
  <c r="I310" i="8" s="1"/>
  <c r="J310" i="8" s="1"/>
  <c r="F311" i="8"/>
  <c r="G311" i="8" s="1"/>
  <c r="H311" i="8" s="1"/>
  <c r="I311" i="8" s="1"/>
  <c r="J311" i="8" s="1"/>
  <c r="F312" i="8"/>
  <c r="F313" i="8"/>
  <c r="G313" i="8" s="1"/>
  <c r="H313" i="8" s="1"/>
  <c r="I313" i="8" s="1"/>
  <c r="J313" i="8" s="1"/>
  <c r="F314" i="8"/>
  <c r="G314" i="8" s="1"/>
  <c r="H314" i="8" s="1"/>
  <c r="I314" i="8" s="1"/>
  <c r="J314" i="8" s="1"/>
  <c r="F315" i="8"/>
  <c r="F316" i="8"/>
  <c r="G316" i="8" s="1"/>
  <c r="H316" i="8" s="1"/>
  <c r="I316" i="8" s="1"/>
  <c r="J316" i="8" s="1"/>
  <c r="F317" i="8"/>
  <c r="F318" i="8"/>
  <c r="G318" i="8" s="1"/>
  <c r="H318" i="8" s="1"/>
  <c r="I318" i="8" s="1"/>
  <c r="J318" i="8" s="1"/>
  <c r="F319" i="8"/>
  <c r="G319" i="8" s="1"/>
  <c r="H319" i="8" s="1"/>
  <c r="I319" i="8" s="1"/>
  <c r="J319" i="8" s="1"/>
  <c r="F320" i="8"/>
  <c r="F321" i="8"/>
  <c r="G321" i="8" s="1"/>
  <c r="H321" i="8" s="1"/>
  <c r="I321" i="8" s="1"/>
  <c r="J321" i="8" s="1"/>
  <c r="F2" i="8"/>
  <c r="G2" i="8" s="1"/>
  <c r="H2" i="8" s="1"/>
  <c r="I2" i="8" s="1"/>
  <c r="J2" i="8" s="1"/>
  <c r="G15" i="8" l="1"/>
  <c r="H15" i="8" s="1"/>
  <c r="I15" i="8" s="1"/>
  <c r="K321" i="8"/>
  <c r="K257" i="8"/>
  <c r="K193" i="8"/>
  <c r="K129" i="8"/>
  <c r="K65" i="8"/>
  <c r="K313" i="8"/>
  <c r="K249" i="8"/>
  <c r="K185" i="8"/>
  <c r="K121" i="8"/>
  <c r="K57" i="8"/>
  <c r="K305" i="8"/>
  <c r="K241" i="8"/>
  <c r="K177" i="8"/>
  <c r="K113" i="8"/>
  <c r="K49" i="8"/>
  <c r="K297" i="8"/>
  <c r="K233" i="8"/>
  <c r="K169" i="8"/>
  <c r="K105" i="8"/>
  <c r="K41" i="8"/>
  <c r="K289" i="8"/>
  <c r="K225" i="8"/>
  <c r="K161" i="8"/>
  <c r="K97" i="8"/>
  <c r="K33" i="8"/>
  <c r="K281" i="8"/>
  <c r="K217" i="8"/>
  <c r="K153" i="8"/>
  <c r="K89" i="8"/>
  <c r="K25" i="8"/>
  <c r="K273" i="8"/>
  <c r="K209" i="8"/>
  <c r="K145" i="8"/>
  <c r="K81" i="8"/>
  <c r="K17" i="8"/>
  <c r="K265" i="8"/>
  <c r="K201" i="8"/>
  <c r="K137" i="8"/>
  <c r="K73" i="8"/>
  <c r="K9" i="8"/>
  <c r="K314" i="8"/>
  <c r="K306" i="8"/>
  <c r="K298" i="8"/>
  <c r="K290" i="8"/>
  <c r="K282" i="8"/>
  <c r="K274" i="8"/>
  <c r="K266" i="8"/>
  <c r="K258" i="8"/>
  <c r="K250" i="8"/>
  <c r="K242" i="8"/>
  <c r="K234" i="8"/>
  <c r="K226" i="8"/>
  <c r="K218" i="8"/>
  <c r="K210" i="8"/>
  <c r="K202" i="8"/>
  <c r="K194" i="8"/>
  <c r="K186" i="8"/>
  <c r="K178" i="8"/>
  <c r="K170" i="8"/>
  <c r="K162" i="8"/>
  <c r="K154" i="8"/>
  <c r="K146" i="8"/>
  <c r="K138" i="8"/>
  <c r="K130" i="8"/>
  <c r="K122" i="8"/>
  <c r="K114" i="8"/>
  <c r="K106" i="8"/>
  <c r="K98" i="8"/>
  <c r="K90" i="8"/>
  <c r="K82" i="8"/>
  <c r="K74" i="8"/>
  <c r="K66" i="8"/>
  <c r="K58" i="8"/>
  <c r="K50" i="8"/>
  <c r="K42" i="8"/>
  <c r="K34" i="8"/>
  <c r="K26" i="8"/>
  <c r="K18" i="8"/>
  <c r="K10" i="8"/>
  <c r="K288" i="8"/>
  <c r="K280" i="8"/>
  <c r="K272" i="8"/>
  <c r="K264" i="8"/>
  <c r="K256" i="8"/>
  <c r="K248" i="8"/>
  <c r="K240" i="8"/>
  <c r="K232" i="8"/>
  <c r="K224" i="8"/>
  <c r="K216" i="8"/>
  <c r="K208" i="8"/>
  <c r="K200" i="8"/>
  <c r="K192" i="8"/>
  <c r="K184" i="8"/>
  <c r="K176" i="8"/>
  <c r="K168" i="8"/>
  <c r="K160" i="8"/>
  <c r="K152" i="8"/>
  <c r="K144" i="8"/>
  <c r="K136" i="8"/>
  <c r="K128" i="8"/>
  <c r="K120" i="8"/>
  <c r="K112" i="8"/>
  <c r="K104" i="8"/>
  <c r="K96" i="8"/>
  <c r="K88" i="8"/>
  <c r="K80" i="8"/>
  <c r="K72" i="8"/>
  <c r="K64" i="8"/>
  <c r="K56" i="8"/>
  <c r="K48" i="8"/>
  <c r="K40" i="8"/>
  <c r="K32" i="8"/>
  <c r="K24" i="8"/>
  <c r="K16" i="8"/>
  <c r="K8" i="8"/>
  <c r="K319" i="8"/>
  <c r="K311" i="8"/>
  <c r="K303" i="8"/>
  <c r="K295" i="8"/>
  <c r="K287" i="8"/>
  <c r="K279" i="8"/>
  <c r="K271" i="8"/>
  <c r="K263" i="8"/>
  <c r="K255" i="8"/>
  <c r="K247" i="8"/>
  <c r="K239" i="8"/>
  <c r="K231" i="8"/>
  <c r="K223" i="8"/>
  <c r="K215" i="8"/>
  <c r="K207" i="8"/>
  <c r="K199" i="8"/>
  <c r="K191" i="8"/>
  <c r="K183" i="8"/>
  <c r="K175" i="8"/>
  <c r="K167" i="8"/>
  <c r="K159" i="8"/>
  <c r="K151" i="8"/>
  <c r="K143" i="8"/>
  <c r="K135" i="8"/>
  <c r="K127" i="8"/>
  <c r="K119" i="8"/>
  <c r="K111" i="8"/>
  <c r="K103" i="8"/>
  <c r="K95" i="8"/>
  <c r="K87" i="8"/>
  <c r="K79" i="8"/>
  <c r="K71" i="8"/>
  <c r="K63" i="8"/>
  <c r="K55" i="8"/>
  <c r="K47" i="8"/>
  <c r="K39" i="8"/>
  <c r="K31" i="8"/>
  <c r="K23" i="8"/>
  <c r="K7" i="8"/>
  <c r="K318" i="8"/>
  <c r="K310" i="8"/>
  <c r="K302" i="8"/>
  <c r="K294" i="8"/>
  <c r="K286" i="8"/>
  <c r="K278" i="8"/>
  <c r="K270" i="8"/>
  <c r="K262" i="8"/>
  <c r="K254" i="8"/>
  <c r="K246" i="8"/>
  <c r="K238" i="8"/>
  <c r="K230" i="8"/>
  <c r="K222" i="8"/>
  <c r="K214" i="8"/>
  <c r="K206" i="8"/>
  <c r="K198" i="8"/>
  <c r="K190" i="8"/>
  <c r="K182" i="8"/>
  <c r="K174" i="8"/>
  <c r="K166" i="8"/>
  <c r="K158" i="8"/>
  <c r="K150" i="8"/>
  <c r="K142" i="8"/>
  <c r="K134" i="8"/>
  <c r="K126" i="8"/>
  <c r="K118" i="8"/>
  <c r="K110" i="8"/>
  <c r="K102" i="8"/>
  <c r="K94" i="8"/>
  <c r="K86" i="8"/>
  <c r="K78" i="8"/>
  <c r="K70" i="8"/>
  <c r="K62" i="8"/>
  <c r="K54" i="8"/>
  <c r="K46" i="8"/>
  <c r="K38" i="8"/>
  <c r="K30" i="8"/>
  <c r="K22" i="8"/>
  <c r="K14" i="8"/>
  <c r="K6" i="8"/>
  <c r="K309" i="8"/>
  <c r="K301" i="8"/>
  <c r="K293" i="8"/>
  <c r="K285" i="8"/>
  <c r="K277" i="8"/>
  <c r="K269" i="8"/>
  <c r="K261" i="8"/>
  <c r="K253" i="8"/>
  <c r="K245" i="8"/>
  <c r="K237" i="8"/>
  <c r="K229" i="8"/>
  <c r="K221" i="8"/>
  <c r="K213" i="8"/>
  <c r="K205" i="8"/>
  <c r="K197" i="8"/>
  <c r="K189" i="8"/>
  <c r="K181" i="8"/>
  <c r="K173" i="8"/>
  <c r="K165" i="8"/>
  <c r="K157" i="8"/>
  <c r="K149" i="8"/>
  <c r="K141" i="8"/>
  <c r="K133" i="8"/>
  <c r="K125" i="8"/>
  <c r="K117" i="8"/>
  <c r="K109" i="8"/>
  <c r="K101" i="8"/>
  <c r="K93" i="8"/>
  <c r="K85" i="8"/>
  <c r="K77" i="8"/>
  <c r="K69" i="8"/>
  <c r="K61" i="8"/>
  <c r="K53" i="8"/>
  <c r="K45" i="8"/>
  <c r="K37" i="8"/>
  <c r="K29" i="8"/>
  <c r="K21" i="8"/>
  <c r="K13" i="8"/>
  <c r="K5" i="8"/>
  <c r="K316" i="8"/>
  <c r="K308" i="8"/>
  <c r="K300" i="8"/>
  <c r="K292" i="8"/>
  <c r="K284" i="8"/>
  <c r="K276" i="8"/>
  <c r="K268" i="8"/>
  <c r="K260" i="8"/>
  <c r="K252" i="8"/>
  <c r="K244" i="8"/>
  <c r="K236" i="8"/>
  <c r="K228" i="8"/>
  <c r="K220" i="8"/>
  <c r="K212" i="8"/>
  <c r="K204" i="8"/>
  <c r="K196" i="8"/>
  <c r="K188" i="8"/>
  <c r="K180" i="8"/>
  <c r="K172" i="8"/>
  <c r="K164" i="8"/>
  <c r="K156" i="8"/>
  <c r="K148" i="8"/>
  <c r="K140" i="8"/>
  <c r="K132" i="8"/>
  <c r="K124" i="8"/>
  <c r="K116" i="8"/>
  <c r="K108" i="8"/>
  <c r="K100" i="8"/>
  <c r="K92" i="8"/>
  <c r="K84" i="8"/>
  <c r="K76" i="8"/>
  <c r="K68" i="8"/>
  <c r="K60" i="8"/>
  <c r="K52" i="8"/>
  <c r="K44" i="8"/>
  <c r="K36" i="8"/>
  <c r="K28" i="8"/>
  <c r="K20" i="8"/>
  <c r="K12" i="8"/>
  <c r="K4" i="8"/>
  <c r="K291" i="8"/>
  <c r="K283" i="8"/>
  <c r="K275" i="8"/>
  <c r="K267" i="8"/>
  <c r="K259" i="8"/>
  <c r="K251" i="8"/>
  <c r="K243" i="8"/>
  <c r="K235" i="8"/>
  <c r="K227" i="8"/>
  <c r="K219" i="8"/>
  <c r="K211" i="8"/>
  <c r="K203" i="8"/>
  <c r="K195" i="8"/>
  <c r="K187" i="8"/>
  <c r="K179" i="8"/>
  <c r="K171" i="8"/>
  <c r="K163" i="8"/>
  <c r="K155" i="8"/>
  <c r="K147" i="8"/>
  <c r="K139" i="8"/>
  <c r="K131" i="8"/>
  <c r="K123" i="8"/>
  <c r="K115" i="8"/>
  <c r="K107" i="8"/>
  <c r="K99" i="8"/>
  <c r="K91" i="8"/>
  <c r="K83" i="8"/>
  <c r="K75" i="8"/>
  <c r="K67" i="8"/>
  <c r="K59" i="8"/>
  <c r="K51" i="8"/>
  <c r="K43" i="8"/>
  <c r="K35" i="8"/>
  <c r="K27" i="8"/>
  <c r="K19" i="8"/>
  <c r="K11" i="8"/>
  <c r="K3" i="8"/>
  <c r="K2" i="8"/>
  <c r="G315" i="8"/>
  <c r="H315" i="8" s="1"/>
  <c r="I315" i="8" s="1"/>
  <c r="G307" i="8"/>
  <c r="H307" i="8" s="1"/>
  <c r="I307" i="8" s="1"/>
  <c r="G299" i="8"/>
  <c r="H299" i="8" s="1"/>
  <c r="I299" i="8" s="1"/>
  <c r="G320" i="8"/>
  <c r="H320" i="8" s="1"/>
  <c r="I320" i="8" s="1"/>
  <c r="G312" i="8"/>
  <c r="H312" i="8" s="1"/>
  <c r="I312" i="8" s="1"/>
  <c r="G304" i="8"/>
  <c r="H304" i="8" s="1"/>
  <c r="I304" i="8" s="1"/>
  <c r="G296" i="8"/>
  <c r="H296" i="8" s="1"/>
  <c r="I296" i="8" s="1"/>
  <c r="G317" i="8"/>
  <c r="H317" i="8" s="1"/>
  <c r="I317" i="8" s="1"/>
  <c r="J15" i="8" l="1"/>
  <c r="K15" i="8"/>
  <c r="J317" i="8"/>
  <c r="K317" i="8"/>
  <c r="J296" i="8"/>
  <c r="K296" i="8"/>
  <c r="J304" i="8"/>
  <c r="K304" i="8"/>
  <c r="J312" i="8"/>
  <c r="K312" i="8"/>
  <c r="J320" i="8"/>
  <c r="K320" i="8"/>
  <c r="J299" i="8"/>
  <c r="K299" i="8"/>
  <c r="J307" i="8"/>
  <c r="K307" i="8"/>
  <c r="J315" i="8"/>
  <c r="K315" i="8"/>
</calcChain>
</file>

<file path=xl/sharedStrings.xml><?xml version="1.0" encoding="utf-8"?>
<sst xmlns="http://schemas.openxmlformats.org/spreadsheetml/2006/main" count="5136" uniqueCount="1602">
  <si>
    <t>Customer_ID</t>
  </si>
  <si>
    <t>Customer_Name</t>
  </si>
  <si>
    <t>Region</t>
  </si>
  <si>
    <t>Customer_Type</t>
  </si>
  <si>
    <t>C001</t>
  </si>
  <si>
    <t>London Wholesale Group</t>
  </si>
  <si>
    <t>UK</t>
  </si>
  <si>
    <t>Business</t>
  </si>
  <si>
    <t>C002</t>
  </si>
  <si>
    <t>Nordic Fashion AB</t>
  </si>
  <si>
    <t>Sweden</t>
  </si>
  <si>
    <t>Retail</t>
  </si>
  <si>
    <t>C003</t>
  </si>
  <si>
    <t>Britannia City Supply</t>
  </si>
  <si>
    <t>VIP</t>
  </si>
  <si>
    <t>C004</t>
  </si>
  <si>
    <t>Berlin Retail Partners</t>
  </si>
  <si>
    <t>Germany</t>
  </si>
  <si>
    <t>C005</t>
  </si>
  <si>
    <t>Copenhagen Electronics A/S</t>
  </si>
  <si>
    <t>Denmark</t>
  </si>
  <si>
    <t>C006</t>
  </si>
  <si>
    <t>Budapest Fashion House</t>
  </si>
  <si>
    <t>Hungary</t>
  </si>
  <si>
    <t>C007</t>
  </si>
  <si>
    <t>Polska Continental Services</t>
  </si>
  <si>
    <t>Poland</t>
  </si>
  <si>
    <t>C008</t>
  </si>
  <si>
    <t>Amsterdam Capital Markets</t>
  </si>
  <si>
    <t>Netherlands</t>
  </si>
  <si>
    <t>C009</t>
  </si>
  <si>
    <t>Rhine Tech Logistics</t>
  </si>
  <si>
    <t>C010</t>
  </si>
  <si>
    <t>Bavaria Appliance Distribution</t>
  </si>
  <si>
    <t>C011</t>
  </si>
  <si>
    <t>Hamburg Metro Trading</t>
  </si>
  <si>
    <t>C012</t>
  </si>
  <si>
    <t>London Continental Foods</t>
  </si>
  <si>
    <t>C013</t>
  </si>
  <si>
    <t>Munich Service Supply GmbH</t>
  </si>
  <si>
    <t>C014</t>
  </si>
  <si>
    <t>Paris Global Solutions</t>
  </si>
  <si>
    <t>France</t>
  </si>
  <si>
    <t>C015</t>
  </si>
  <si>
    <t>Vienna Crown Automotive</t>
  </si>
  <si>
    <t>Austria</t>
  </si>
  <si>
    <t>C016</t>
  </si>
  <si>
    <t>Frankfurt Capital Retail</t>
  </si>
  <si>
    <t>C017</t>
  </si>
  <si>
    <t>Stuttgart Retail Holdings</t>
  </si>
  <si>
    <t>C018</t>
  </si>
  <si>
    <t>Dutch Appliance Group</t>
  </si>
  <si>
    <t>C019</t>
  </si>
  <si>
    <t>Baltic Service Network</t>
  </si>
  <si>
    <t>C020</t>
  </si>
  <si>
    <t>Berlin Metro Electronics</t>
  </si>
  <si>
    <t>C021</t>
  </si>
  <si>
    <t>Manchester Appliance Hub</t>
  </si>
  <si>
    <t>C022</t>
  </si>
  <si>
    <t>Rotterdam Global Services</t>
  </si>
  <si>
    <t>C023</t>
  </si>
  <si>
    <t>Brussels Direct Furniture</t>
  </si>
  <si>
    <t>Belgium</t>
  </si>
  <si>
    <t>C024</t>
  </si>
  <si>
    <t>Paris Capital Trading</t>
  </si>
  <si>
    <t>C025</t>
  </si>
  <si>
    <t>Lyon Euro Food Traders</t>
  </si>
  <si>
    <t>C026</t>
  </si>
  <si>
    <t>London City Tech Store</t>
  </si>
  <si>
    <t>C027</t>
  </si>
  <si>
    <t>Berlin Capital Fashion</t>
  </si>
  <si>
    <t>C028</t>
  </si>
  <si>
    <t>Cologne Continental Solutions</t>
  </si>
  <si>
    <t>C029</t>
  </si>
  <si>
    <t>Dresden Electronics Industries</t>
  </si>
  <si>
    <t>C030</t>
  </si>
  <si>
    <t>Madrid Iberia Solutions Logistics</t>
  </si>
  <si>
    <t>Spain</t>
  </si>
  <si>
    <t>C031</t>
  </si>
  <si>
    <t>Marseille Pioneer Trading</t>
  </si>
  <si>
    <t>C032</t>
  </si>
  <si>
    <t>Aarhus Furniture Imports</t>
  </si>
  <si>
    <t>C033</t>
  </si>
  <si>
    <t>Liverpool Metro Services</t>
  </si>
  <si>
    <t>C034</t>
  </si>
  <si>
    <t>Milan Pioneer Logistics</t>
  </si>
  <si>
    <t>Italy</t>
  </si>
  <si>
    <t>C035</t>
  </si>
  <si>
    <t>Hamburg Western Retail Logistics</t>
  </si>
  <si>
    <t>C036</t>
  </si>
  <si>
    <t>Nice Euro Distribution</t>
  </si>
  <si>
    <t>C037</t>
  </si>
  <si>
    <t>Debrecen Eastern Logistics</t>
  </si>
  <si>
    <t>C038</t>
  </si>
  <si>
    <t>Frankfurt Euro Appliance Supply</t>
  </si>
  <si>
    <t>C039</t>
  </si>
  <si>
    <t>Berlin Union Automotive Market</t>
  </si>
  <si>
    <t>C040</t>
  </si>
  <si>
    <t>Salzburg Green Fashion</t>
  </si>
  <si>
    <t>C041</t>
  </si>
  <si>
    <t>Turin Direct Automotive</t>
  </si>
  <si>
    <t>C042</t>
  </si>
  <si>
    <t>Helsinki Elite Automotive</t>
  </si>
  <si>
    <t>Finland</t>
  </si>
  <si>
    <t>C043</t>
  </si>
  <si>
    <t>Innsbruck Elite Fashion Intl</t>
  </si>
  <si>
    <t>C044</t>
  </si>
  <si>
    <t>Birmingham City Distribution</t>
  </si>
  <si>
    <t>C045</t>
  </si>
  <si>
    <t>Toulouse Prime Tech</t>
  </si>
  <si>
    <t>C046</t>
  </si>
  <si>
    <t>Barcelona Top Tech International</t>
  </si>
  <si>
    <t>C047</t>
  </si>
  <si>
    <t>Valencia Elite Distribution</t>
  </si>
  <si>
    <t>C048</t>
  </si>
  <si>
    <t>Paris Global Electronics</t>
  </si>
  <si>
    <t>C049</t>
  </si>
  <si>
    <t>Berlin Capital Tech Market</t>
  </si>
  <si>
    <t>C050</t>
  </si>
  <si>
    <t>Bordeaux Direct Foods</t>
  </si>
  <si>
    <t>C051</t>
  </si>
  <si>
    <t>Lille Western Foods</t>
  </si>
  <si>
    <t>C052</t>
  </si>
  <si>
    <t>Stockholm Nordic Tech Industries</t>
  </si>
  <si>
    <t>C053</t>
  </si>
  <si>
    <t>Budapest Eastern Automotive</t>
  </si>
  <si>
    <t>C054</t>
  </si>
  <si>
    <t>Vienna Direct Retail Logistics</t>
  </si>
  <si>
    <t>C055</t>
  </si>
  <si>
    <t>Paris Capital Service Supply</t>
  </si>
  <si>
    <t>Product_ID</t>
  </si>
  <si>
    <t>Product_Category</t>
  </si>
  <si>
    <t>Handling_Type</t>
  </si>
  <si>
    <t>Value_Level</t>
  </si>
  <si>
    <t>P001</t>
  </si>
  <si>
    <t>Electronics</t>
  </si>
  <si>
    <t>Fragile</t>
  </si>
  <si>
    <t>Medium</t>
  </si>
  <si>
    <t>P002</t>
  </si>
  <si>
    <t>High</t>
  </si>
  <si>
    <t>P003</t>
  </si>
  <si>
    <t>P004</t>
  </si>
  <si>
    <t>P005</t>
  </si>
  <si>
    <t>P006</t>
  </si>
  <si>
    <t>P007</t>
  </si>
  <si>
    <t>Low</t>
  </si>
  <si>
    <t>P008</t>
  </si>
  <si>
    <t>P009</t>
  </si>
  <si>
    <t>Clothing</t>
  </si>
  <si>
    <t>Standard</t>
  </si>
  <si>
    <t>P010</t>
  </si>
  <si>
    <t>P011</t>
  </si>
  <si>
    <t>P012</t>
  </si>
  <si>
    <t>P013</t>
  </si>
  <si>
    <t>P014</t>
  </si>
  <si>
    <t>P015</t>
  </si>
  <si>
    <t>P016</t>
  </si>
  <si>
    <t>P017</t>
  </si>
  <si>
    <t>Furniture</t>
  </si>
  <si>
    <t>Heavy</t>
  </si>
  <si>
    <t>P018</t>
  </si>
  <si>
    <t>P019</t>
  </si>
  <si>
    <t>P020</t>
  </si>
  <si>
    <t>P021</t>
  </si>
  <si>
    <t>P022</t>
  </si>
  <si>
    <t>P023</t>
  </si>
  <si>
    <t>Food</t>
  </si>
  <si>
    <t>Temperature Controlled</t>
  </si>
  <si>
    <t>P024</t>
  </si>
  <si>
    <t>P025</t>
  </si>
  <si>
    <t>P026</t>
  </si>
  <si>
    <t>P027</t>
  </si>
  <si>
    <t>P028</t>
  </si>
  <si>
    <t>P029</t>
  </si>
  <si>
    <t>Medical Supplies</t>
  </si>
  <si>
    <t>P030</t>
  </si>
  <si>
    <t>P031</t>
  </si>
  <si>
    <t>P032</t>
  </si>
  <si>
    <t>P033</t>
  </si>
  <si>
    <t>Home Appliances</t>
  </si>
  <si>
    <t>P034</t>
  </si>
  <si>
    <t>P035</t>
  </si>
  <si>
    <t>P036</t>
  </si>
  <si>
    <t>P037</t>
  </si>
  <si>
    <t>P038</t>
  </si>
  <si>
    <t>P039</t>
  </si>
  <si>
    <t>P040</t>
  </si>
  <si>
    <t>Warehouse_ID</t>
  </si>
  <si>
    <t>Warehouse_Name</t>
  </si>
  <si>
    <t>City</t>
  </si>
  <si>
    <t>Storage_Type</t>
  </si>
  <si>
    <t>Capacity_Level</t>
  </si>
  <si>
    <t>W001</t>
  </si>
  <si>
    <t>Central Hub</t>
  </si>
  <si>
    <t>Berlin</t>
  </si>
  <si>
    <t>General</t>
  </si>
  <si>
    <t>W002</t>
  </si>
  <si>
    <t>Cold Storage Hub North</t>
  </si>
  <si>
    <t>Hamburg</t>
  </si>
  <si>
    <t>Temperature</t>
  </si>
  <si>
    <t>W003</t>
  </si>
  <si>
    <t>Fragile Handling Center</t>
  </si>
  <si>
    <t>Milan</t>
  </si>
  <si>
    <t>W004</t>
  </si>
  <si>
    <t>Heavy Goods Depot</t>
  </si>
  <si>
    <t>Warsaw</t>
  </si>
  <si>
    <t>W005</t>
  </si>
  <si>
    <t>Cold Storage Hub West</t>
  </si>
  <si>
    <t>Rotterdam</t>
  </si>
  <si>
    <t>Carrier_ID</t>
  </si>
  <si>
    <t>Carrier_Name</t>
  </si>
  <si>
    <t>Transport_Mode</t>
  </si>
  <si>
    <t>Reliability_Rating</t>
  </si>
  <si>
    <t>CA001</t>
  </si>
  <si>
    <t>DHL</t>
  </si>
  <si>
    <t>Road/Air</t>
  </si>
  <si>
    <t>5</t>
  </si>
  <si>
    <t>CA002</t>
  </si>
  <si>
    <t>UPS</t>
  </si>
  <si>
    <t>4</t>
  </si>
  <si>
    <t>CA003</t>
  </si>
  <si>
    <t>Maersk</t>
  </si>
  <si>
    <t>Sea</t>
  </si>
  <si>
    <t>CA004</t>
  </si>
  <si>
    <t>DB Rail</t>
  </si>
  <si>
    <t>Rail</t>
  </si>
  <si>
    <t>3</t>
  </si>
  <si>
    <t>CA005</t>
  </si>
  <si>
    <t>FedEx</t>
  </si>
  <si>
    <t>Air/Road</t>
  </si>
  <si>
    <t>CA006</t>
  </si>
  <si>
    <t>Euro Local Trucking</t>
  </si>
  <si>
    <t>Road</t>
  </si>
  <si>
    <t>Route_ID</t>
  </si>
  <si>
    <t>Origin_City</t>
  </si>
  <si>
    <t>Destination_City</t>
  </si>
  <si>
    <t>Standard_Transit_Days</t>
  </si>
  <si>
    <t>R001</t>
  </si>
  <si>
    <t>Paris</t>
  </si>
  <si>
    <t>2</t>
  </si>
  <si>
    <t>R002</t>
  </si>
  <si>
    <t>Rome</t>
  </si>
  <si>
    <t>R003</t>
  </si>
  <si>
    <t>Madrid</t>
  </si>
  <si>
    <t>R004</t>
  </si>
  <si>
    <t>Stockholm</t>
  </si>
  <si>
    <t>R005</t>
  </si>
  <si>
    <t>R006</t>
  </si>
  <si>
    <t>London</t>
  </si>
  <si>
    <t>R007</t>
  </si>
  <si>
    <t>Frankfurt</t>
  </si>
  <si>
    <t>R008</t>
  </si>
  <si>
    <t>Barcelona</t>
  </si>
  <si>
    <t>R009</t>
  </si>
  <si>
    <t>Budapest</t>
  </si>
  <si>
    <t>R010</t>
  </si>
  <si>
    <t>Prague</t>
  </si>
  <si>
    <t>R011</t>
  </si>
  <si>
    <t>Vienna</t>
  </si>
  <si>
    <t>R012</t>
  </si>
  <si>
    <t>Amsterdam</t>
  </si>
  <si>
    <t>Order_ID</t>
  </si>
  <si>
    <t>Order_Date</t>
  </si>
  <si>
    <t>Requested_Delivery_Date</t>
  </si>
  <si>
    <t>Order_Priority</t>
  </si>
  <si>
    <t>O0001</t>
  </si>
  <si>
    <t>O0002</t>
  </si>
  <si>
    <t>Normal</t>
  </si>
  <si>
    <t>O0003</t>
  </si>
  <si>
    <t>Critical</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</si>
  <si>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</si>
  <si>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</si>
  <si>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</si>
  <si>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</si>
  <si>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</si>
  <si>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</si>
  <si>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</si>
  <si>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</si>
  <si>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</si>
  <si>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</si>
  <si>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</si>
  <si>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</si>
  <si>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</si>
  <si>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</si>
  <si>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</si>
  <si>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</si>
  <si>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</si>
  <si>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</si>
  <si>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</si>
  <si>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</si>
  <si>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</si>
  <si>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</si>
  <si>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</si>
  <si>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</si>
  <si>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</si>
  <si>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</si>
  <si>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</si>
  <si>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</si>
  <si>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</si>
  <si>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</si>
  <si>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</si>
  <si>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</si>
  <si>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</si>
  <si>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</si>
  <si>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</si>
  <si>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</si>
  <si>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</si>
  <si>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</si>
  <si>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</si>
  <si>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</si>
  <si>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</si>
  <si>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</si>
  <si>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</si>
  <si>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</si>
  <si>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</si>
  <si>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</si>
  <si>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</si>
  <si>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</si>
  <si>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</si>
  <si>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</si>
  <si>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</si>
  <si>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</si>
  <si>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</si>
  <si>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</si>
  <si>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</si>
  <si>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</si>
  <si>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</si>
  <si>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</si>
  <si>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</si>
  <si>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</si>
  <si>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</si>
  <si>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</si>
  <si>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</si>
  <si>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</si>
  <si>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</si>
  <si>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</si>
  <si>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</si>
  <si>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</si>
  <si>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</si>
  <si>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</si>
  <si>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</si>
  <si>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</si>
  <si>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</si>
  <si>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</si>
  <si>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</si>
  <si>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</si>
  <si>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</si>
  <si>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</si>
  <si>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</si>
  <si>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</si>
  <si>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</si>
  <si>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</si>
  <si>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</si>
  <si>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</si>
  <si>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</si>
  <si>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</si>
  <si>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</si>
  <si>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</si>
  <si>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</si>
  <si>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</si>
  <si>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</si>
  <si>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</si>
  <si>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</si>
  <si>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</si>
  <si>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</si>
  <si>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</si>
  <si>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</si>
  <si>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</si>
  <si>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</si>
  <si>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</si>
  <si>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</si>
  <si>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</si>
  <si>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</si>
  <si>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</si>
  <si>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</si>
  <si>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</si>
  <si>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</si>
  <si>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</si>
  <si>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</si>
  <si>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</si>
  <si>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</si>
  <si>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</si>
  <si>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</si>
  <si>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</si>
  <si>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</si>
  <si>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</si>
  <si>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</si>
  <si>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</si>
  <si>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</si>
  <si>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</si>
  <si>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</si>
  <si>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</si>
  <si>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</si>
  <si>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</si>
  <si>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</si>
  <si>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</si>
  <si>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</si>
  <si>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</si>
  <si>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</si>
  <si>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</si>
  <si>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</si>
  <si>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</si>
  <si>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</si>
  <si>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</si>
  <si>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</si>
  <si>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</si>
  <si>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</si>
  <si>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</si>
  <si>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</si>
  <si>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</si>
  <si>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</si>
  <si>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</si>
  <si>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</si>
  <si>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</si>
  <si>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</si>
  <si>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</si>
  <si>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</si>
  <si>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</si>
  <si>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</si>
  <si>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</si>
  <si>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</si>
  <si>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</si>
  <si>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</si>
  <si>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</si>
  <si>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</si>
  <si>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</si>
  <si>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</si>
  <si>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</si>
  <si>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</si>
  <si>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</si>
  <si>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</si>
  <si>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</si>
  <si>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</si>
  <si>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</si>
  <si>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</si>
  <si>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</si>
  <si>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</si>
  <si>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</si>
  <si>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</si>
  <si>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</si>
  <si>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</si>
  <si>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</si>
  <si>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</si>
  <si>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</si>
  <si>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</si>
  <si>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</si>
  <si>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</si>
  <si>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</si>
  <si>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</si>
  <si>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</si>
  <si>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</si>
  <si>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</si>
  <si>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</si>
  <si>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</si>
  <si>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</si>
  <si>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</si>
  <si>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</si>
  <si>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</si>
  <si>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</si>
  <si>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</si>
  <si>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</si>
  <si>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</si>
  <si>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</si>
  <si>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</si>
  <si>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</si>
  <si>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</si>
  <si>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</si>
  <si>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</si>
  <si>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</si>
  <si>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</si>
  <si>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</si>
  <si>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</si>
  <si>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</si>
  <si>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</si>
  <si>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</si>
  <si>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</si>
  <si>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</si>
  <si>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</si>
  <si>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</si>
  <si>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</si>
  <si>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</si>
  <si>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</si>
  <si>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</si>
  <si>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</si>
  <si>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</si>
  <si>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</si>
  <si>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</si>
  <si>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</si>
  <si>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</si>
  <si>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</si>
  <si>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</si>
  <si>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</si>
  <si>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</si>
  <si>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</si>
  <si>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</si>
  <si>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</si>
  <si>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</si>
  <si>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</si>
  <si>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</si>
  <si>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</si>
  <si>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</si>
  <si>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</si>
  <si>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</si>
  <si>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</si>
  <si>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</si>
  <si>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</si>
  <si>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</si>
  <si>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</si>
  <si>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</si>
  <si>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</si>
  <si>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</si>
  <si>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</si>
  <si>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</si>
  <si>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</si>
  <si>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</si>
  <si>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</si>
  <si>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</si>
  <si>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Order_Item_ID</t>
  </si>
  <si>
    <t>Quantity</t>
  </si>
  <si>
    <t>OI00001</t>
  </si>
  <si>
    <t>OI00002</t>
  </si>
  <si>
    <t>OI00003</t>
  </si>
  <si>
    <t>OI00004</t>
  </si>
  <si>
    <t>OI00005</t>
  </si>
  <si>
    <t>OI00006</t>
  </si>
  <si>
    <t>OI00007</t>
  </si>
  <si>
    <t>OI00008</t>
  </si>
  <si>
    <t>OI00009</t>
  </si>
  <si>
    <t>OI00010</t>
  </si>
  <si>
    <t>OI00011</t>
  </si>
  <si>
    <t>OI00012</t>
  </si>
  <si>
    <t>OI00013</t>
  </si>
  <si>
    <t>OI00014</t>
  </si>
  <si>
    <t>OI00015</t>
  </si>
  <si>
    <t>OI00016</t>
  </si>
  <si>
    <t>OI00017</t>
  </si>
  <si>
    <t>OI00018</t>
  </si>
  <si>
    <t>OI00019</t>
  </si>
  <si>
    <t>OI00020</t>
  </si>
  <si>
    <t>OI00021</t>
  </si>
  <si>
    <t>OI00022</t>
  </si>
  <si>
    <t>OI00023</t>
  </si>
  <si>
    <t>OI00024</t>
  </si>
  <si>
    <t>OI00025</t>
  </si>
  <si>
    <t>OI00026</t>
  </si>
  <si>
    <t>OI00027</t>
  </si>
  <si>
    <t>OI00028</t>
  </si>
  <si>
    <t>OI00029</t>
  </si>
  <si>
    <t>OI00030</t>
  </si>
  <si>
    <t>OI00031</t>
  </si>
  <si>
    <t>OI00032</t>
  </si>
  <si>
    <t>OI00033</t>
  </si>
  <si>
    <t>OI00034</t>
  </si>
  <si>
    <t>OI00035</t>
  </si>
  <si>
    <t>OI00036</t>
  </si>
  <si>
    <t>OI00037</t>
  </si>
  <si>
    <t>OI00038</t>
  </si>
  <si>
    <t>OI00039</t>
  </si>
  <si>
    <t>OI00040</t>
  </si>
  <si>
    <t>OI00041</t>
  </si>
  <si>
    <t>OI00042</t>
  </si>
  <si>
    <t>OI00043</t>
  </si>
  <si>
    <t>OI00044</t>
  </si>
  <si>
    <t>OI00045</t>
  </si>
  <si>
    <t>OI00046</t>
  </si>
  <si>
    <t>OI00047</t>
  </si>
  <si>
    <t>OI00048</t>
  </si>
  <si>
    <t>OI00049</t>
  </si>
  <si>
    <t>OI00050</t>
  </si>
  <si>
    <t>OI00051</t>
  </si>
  <si>
    <t>OI00052</t>
  </si>
  <si>
    <t>OI00053</t>
  </si>
  <si>
    <t>OI00054</t>
  </si>
  <si>
    <t>OI00055</t>
  </si>
  <si>
    <t>OI00056</t>
  </si>
  <si>
    <t>OI00057</t>
  </si>
  <si>
    <t>OI00058</t>
  </si>
  <si>
    <t>OI00059</t>
  </si>
  <si>
    <t>OI00060</t>
  </si>
  <si>
    <t>OI00061</t>
  </si>
  <si>
    <t>OI00062</t>
  </si>
  <si>
    <t>OI00063</t>
  </si>
  <si>
    <t>OI00064</t>
  </si>
  <si>
    <t>OI00065</t>
  </si>
  <si>
    <t>OI00066</t>
  </si>
  <si>
    <t>OI00067</t>
  </si>
  <si>
    <t>OI00068</t>
  </si>
  <si>
    <t>OI00069</t>
  </si>
  <si>
    <t>OI00070</t>
  </si>
  <si>
    <t>OI00071</t>
  </si>
  <si>
    <t>OI00072</t>
  </si>
  <si>
    <t>OI00073</t>
  </si>
  <si>
    <t>OI00074</t>
  </si>
  <si>
    <t>OI00075</t>
  </si>
  <si>
    <t>OI00076</t>
  </si>
  <si>
    <t>OI00077</t>
  </si>
  <si>
    <t>OI00078</t>
  </si>
  <si>
    <t>OI00079</t>
  </si>
  <si>
    <t>OI00080</t>
  </si>
  <si>
    <t>OI00081</t>
  </si>
  <si>
    <t>OI00082</t>
  </si>
  <si>
    <t>OI00083</t>
  </si>
  <si>
    <t>OI00084</t>
  </si>
  <si>
    <t>OI00085</t>
  </si>
  <si>
    <t>OI00086</t>
  </si>
  <si>
    <t>OI00087</t>
  </si>
  <si>
    <t>OI00088</t>
  </si>
  <si>
    <t>OI00089</t>
  </si>
  <si>
    <t>OI00090</t>
  </si>
  <si>
    <t>OI00091</t>
  </si>
  <si>
    <t>OI00092</t>
  </si>
  <si>
    <t>OI00093</t>
  </si>
  <si>
    <t>OI00094</t>
  </si>
  <si>
    <t>OI00095</t>
  </si>
  <si>
    <t>OI00096</t>
  </si>
  <si>
    <t>OI00097</t>
  </si>
  <si>
    <t>OI00098</t>
  </si>
  <si>
    <t>OI00099</t>
  </si>
  <si>
    <t>OI00100</t>
  </si>
  <si>
    <t>OI00101</t>
  </si>
  <si>
    <t>OI00102</t>
  </si>
  <si>
    <t>OI00103</t>
  </si>
  <si>
    <t>OI00104</t>
  </si>
  <si>
    <t>OI00105</t>
  </si>
  <si>
    <t>OI00106</t>
  </si>
  <si>
    <t>OI00107</t>
  </si>
  <si>
    <t>OI00108</t>
  </si>
  <si>
    <t>OI00109</t>
  </si>
  <si>
    <t>OI00110</t>
  </si>
  <si>
    <t>OI00111</t>
  </si>
  <si>
    <t>OI00112</t>
  </si>
  <si>
    <t>OI00113</t>
  </si>
  <si>
    <t>OI00114</t>
  </si>
  <si>
    <t>OI00115</t>
  </si>
  <si>
    <t>OI00116</t>
  </si>
  <si>
    <t>OI00117</t>
  </si>
  <si>
    <t>OI00118</t>
  </si>
  <si>
    <t>OI00119</t>
  </si>
  <si>
    <t>OI00120</t>
  </si>
  <si>
    <t>OI00121</t>
  </si>
  <si>
    <t>OI00122</t>
  </si>
  <si>
    <t>OI00123</t>
  </si>
  <si>
    <t>OI00124</t>
  </si>
  <si>
    <t>OI00125</t>
  </si>
  <si>
    <t>OI00126</t>
  </si>
  <si>
    <t>OI00127</t>
  </si>
  <si>
    <t>OI00128</t>
  </si>
  <si>
    <t>OI00129</t>
  </si>
  <si>
    <t>OI00130</t>
  </si>
  <si>
    <t>OI00131</t>
  </si>
  <si>
    <t>OI00132</t>
  </si>
  <si>
    <t>OI00133</t>
  </si>
  <si>
    <t>OI00134</t>
  </si>
  <si>
    <t>OI00135</t>
  </si>
  <si>
    <t>OI00136</t>
  </si>
  <si>
    <t>OI00137</t>
  </si>
  <si>
    <t>OI00138</t>
  </si>
  <si>
    <t>OI00139</t>
  </si>
  <si>
    <t>OI00140</t>
  </si>
  <si>
    <t>OI00141</t>
  </si>
  <si>
    <t>OI00142</t>
  </si>
  <si>
    <t>OI00143</t>
  </si>
  <si>
    <t>OI00144</t>
  </si>
  <si>
    <t>OI00145</t>
  </si>
  <si>
    <t>OI00146</t>
  </si>
  <si>
    <t>OI00147</t>
  </si>
  <si>
    <t>OI00148</t>
  </si>
  <si>
    <t>OI00149</t>
  </si>
  <si>
    <t>OI00150</t>
  </si>
  <si>
    <t>OI00151</t>
  </si>
  <si>
    <t>OI00152</t>
  </si>
  <si>
    <t>OI00153</t>
  </si>
  <si>
    <t>OI00154</t>
  </si>
  <si>
    <t>OI00155</t>
  </si>
  <si>
    <t>OI00156</t>
  </si>
  <si>
    <t>OI00157</t>
  </si>
  <si>
    <t>OI00158</t>
  </si>
  <si>
    <t>OI00159</t>
  </si>
  <si>
    <t>OI00160</t>
  </si>
  <si>
    <t>OI00161</t>
  </si>
  <si>
    <t>OI00162</t>
  </si>
  <si>
    <t>OI00163</t>
  </si>
  <si>
    <t>OI00164</t>
  </si>
  <si>
    <t>OI00165</t>
  </si>
  <si>
    <t>OI00166</t>
  </si>
  <si>
    <t>OI00167</t>
  </si>
  <si>
    <t>OI00168</t>
  </si>
  <si>
    <t>OI00169</t>
  </si>
  <si>
    <t>OI00170</t>
  </si>
  <si>
    <t>OI00171</t>
  </si>
  <si>
    <t>OI00172</t>
  </si>
  <si>
    <t>OI00173</t>
  </si>
  <si>
    <t>OI00174</t>
  </si>
  <si>
    <t>OI00175</t>
  </si>
  <si>
    <t>OI00176</t>
  </si>
  <si>
    <t>OI00177</t>
  </si>
  <si>
    <t>OI00178</t>
  </si>
  <si>
    <t>OI00179</t>
  </si>
  <si>
    <t>OI00180</t>
  </si>
  <si>
    <t>OI00181</t>
  </si>
  <si>
    <t>OI00182</t>
  </si>
  <si>
    <t>OI00183</t>
  </si>
  <si>
    <t>OI00184</t>
  </si>
  <si>
    <t>OI00185</t>
  </si>
  <si>
    <t>OI00186</t>
  </si>
  <si>
    <t>OI00187</t>
  </si>
  <si>
    <t>OI00188</t>
  </si>
  <si>
    <t>OI00189</t>
  </si>
  <si>
    <t>OI00190</t>
  </si>
  <si>
    <t>OI00191</t>
  </si>
  <si>
    <t>OI00192</t>
  </si>
  <si>
    <t>OI00193</t>
  </si>
  <si>
    <t>OI00194</t>
  </si>
  <si>
    <t>OI00195</t>
  </si>
  <si>
    <t>OI00196</t>
  </si>
  <si>
    <t>OI00197</t>
  </si>
  <si>
    <t>OI00198</t>
  </si>
  <si>
    <t>OI00199</t>
  </si>
  <si>
    <t>OI00200</t>
  </si>
  <si>
    <t>OI00201</t>
  </si>
  <si>
    <t>OI00202</t>
  </si>
  <si>
    <t>OI00203</t>
  </si>
  <si>
    <t>OI00204</t>
  </si>
  <si>
    <t>OI00205</t>
  </si>
  <si>
    <t>OI00206</t>
  </si>
  <si>
    <t>OI00207</t>
  </si>
  <si>
    <t>OI00208</t>
  </si>
  <si>
    <t>OI00209</t>
  </si>
  <si>
    <t>OI00210</t>
  </si>
  <si>
    <t>OI00211</t>
  </si>
  <si>
    <t>OI00212</t>
  </si>
  <si>
    <t>OI00213</t>
  </si>
  <si>
    <t>OI00214</t>
  </si>
  <si>
    <t>OI00215</t>
  </si>
  <si>
    <t>OI00216</t>
  </si>
  <si>
    <t>OI00217</t>
  </si>
  <si>
    <t>OI00218</t>
  </si>
  <si>
    <t>OI00219</t>
  </si>
  <si>
    <t>OI00220</t>
  </si>
  <si>
    <t>OI00221</t>
  </si>
  <si>
    <t>OI00222</t>
  </si>
  <si>
    <t>OI00223</t>
  </si>
  <si>
    <t>OI00224</t>
  </si>
  <si>
    <t>OI00225</t>
  </si>
  <si>
    <t>OI00226</t>
  </si>
  <si>
    <t>OI00227</t>
  </si>
  <si>
    <t>OI00228</t>
  </si>
  <si>
    <t>OI00229</t>
  </si>
  <si>
    <t>OI00230</t>
  </si>
  <si>
    <t>OI00231</t>
  </si>
  <si>
    <t>OI00232</t>
  </si>
  <si>
    <t>OI00233</t>
  </si>
  <si>
    <t>OI00234</t>
  </si>
  <si>
    <t>OI00235</t>
  </si>
  <si>
    <t>OI00236</t>
  </si>
  <si>
    <t>OI00237</t>
  </si>
  <si>
    <t>OI00238</t>
  </si>
  <si>
    <t>OI00239</t>
  </si>
  <si>
    <t>OI00240</t>
  </si>
  <si>
    <t>OI00241</t>
  </si>
  <si>
    <t>OI00242</t>
  </si>
  <si>
    <t>OI00243</t>
  </si>
  <si>
    <t>OI00244</t>
  </si>
  <si>
    <t>OI00245</t>
  </si>
  <si>
    <t>OI00246</t>
  </si>
  <si>
    <t>OI00247</t>
  </si>
  <si>
    <t>OI00248</t>
  </si>
  <si>
    <t>OI00249</t>
  </si>
  <si>
    <t>OI00250</t>
  </si>
  <si>
    <t>OI00251</t>
  </si>
  <si>
    <t>OI00252</t>
  </si>
  <si>
    <t>OI00253</t>
  </si>
  <si>
    <t>OI00254</t>
  </si>
  <si>
    <t>OI00255</t>
  </si>
  <si>
    <t>OI00256</t>
  </si>
  <si>
    <t>OI00257</t>
  </si>
  <si>
    <t>OI00258</t>
  </si>
  <si>
    <t>OI00259</t>
  </si>
  <si>
    <t>OI00260</t>
  </si>
  <si>
    <t>OI00261</t>
  </si>
  <si>
    <t>OI00262</t>
  </si>
  <si>
    <t>OI00263</t>
  </si>
  <si>
    <t>OI00264</t>
  </si>
  <si>
    <t>OI00265</t>
  </si>
  <si>
    <t>OI00266</t>
  </si>
  <si>
    <t>OI00267</t>
  </si>
  <si>
    <t>OI00268</t>
  </si>
  <si>
    <t>OI00269</t>
  </si>
  <si>
    <t>OI00270</t>
  </si>
  <si>
    <t>OI00271</t>
  </si>
  <si>
    <t>OI00272</t>
  </si>
  <si>
    <t>OI00273</t>
  </si>
  <si>
    <t>OI00274</t>
  </si>
  <si>
    <t>OI00275</t>
  </si>
  <si>
    <t>OI00276</t>
  </si>
  <si>
    <t>OI00277</t>
  </si>
  <si>
    <t>OI00278</t>
  </si>
  <si>
    <t>OI00279</t>
  </si>
  <si>
    <t>OI00280</t>
  </si>
  <si>
    <t>OI00281</t>
  </si>
  <si>
    <t>OI00282</t>
  </si>
  <si>
    <t>OI00283</t>
  </si>
  <si>
    <t>OI00284</t>
  </si>
  <si>
    <t>OI00285</t>
  </si>
  <si>
    <t>OI00286</t>
  </si>
  <si>
    <t>OI00287</t>
  </si>
  <si>
    <t>OI00288</t>
  </si>
  <si>
    <t>OI00289</t>
  </si>
  <si>
    <t>OI00290</t>
  </si>
  <si>
    <t>OI00291</t>
  </si>
  <si>
    <t>OI00292</t>
  </si>
  <si>
    <t>OI00293</t>
  </si>
  <si>
    <t>OI00294</t>
  </si>
  <si>
    <t>OI00295</t>
  </si>
  <si>
    <t>OI00296</t>
  </si>
  <si>
    <t>OI00297</t>
  </si>
  <si>
    <t>OI00298</t>
  </si>
  <si>
    <t>OI00299</t>
  </si>
  <si>
    <t>OI00300</t>
  </si>
  <si>
    <t>OI00301</t>
  </si>
  <si>
    <t>OI00302</t>
  </si>
  <si>
    <t>OI00303</t>
  </si>
  <si>
    <t>OI00304</t>
  </si>
  <si>
    <t>OI00305</t>
  </si>
  <si>
    <t>OI00306</t>
  </si>
  <si>
    <t>OI00307</t>
  </si>
  <si>
    <t>OI00308</t>
  </si>
  <si>
    <t>OI00309</t>
  </si>
  <si>
    <t>OI00310</t>
  </si>
  <si>
    <t>OI00311</t>
  </si>
  <si>
    <t>OI00312</t>
  </si>
  <si>
    <t>OI00313</t>
  </si>
  <si>
    <t>OI00314</t>
  </si>
  <si>
    <t>OI00315</t>
  </si>
  <si>
    <t>OI00316</t>
  </si>
  <si>
    <t>OI00317</t>
  </si>
  <si>
    <t>OI00318</t>
  </si>
  <si>
    <t>OI00319</t>
  </si>
  <si>
    <t>OI00320</t>
  </si>
  <si>
    <t>OI00321</t>
  </si>
  <si>
    <t>OI00322</t>
  </si>
  <si>
    <t>OI00323</t>
  </si>
  <si>
    <t>OI00324</t>
  </si>
  <si>
    <t>OI00325</t>
  </si>
  <si>
    <t>OI00326</t>
  </si>
  <si>
    <t>OI00327</t>
  </si>
  <si>
    <t>OI00328</t>
  </si>
  <si>
    <t>OI00329</t>
  </si>
  <si>
    <t>OI00330</t>
  </si>
  <si>
    <t>OI00331</t>
  </si>
  <si>
    <t>OI00332</t>
  </si>
  <si>
    <t>OI00333</t>
  </si>
  <si>
    <t>OI00334</t>
  </si>
  <si>
    <t>OI00335</t>
  </si>
  <si>
    <t>OI00336</t>
  </si>
  <si>
    <t>OI00337</t>
  </si>
  <si>
    <t>OI00338</t>
  </si>
  <si>
    <t>OI00339</t>
  </si>
  <si>
    <t>OI00340</t>
  </si>
  <si>
    <t>OI00341</t>
  </si>
  <si>
    <t>OI00342</t>
  </si>
  <si>
    <t>OI00343</t>
  </si>
  <si>
    <t>OI00344</t>
  </si>
  <si>
    <t>OI00345</t>
  </si>
  <si>
    <t>OI00346</t>
  </si>
  <si>
    <t>OI00347</t>
  </si>
  <si>
    <t>OI00348</t>
  </si>
  <si>
    <t>OI00349</t>
  </si>
  <si>
    <t>OI00350</t>
  </si>
  <si>
    <t>OI00351</t>
  </si>
  <si>
    <t>OI00352</t>
  </si>
  <si>
    <t>OI00353</t>
  </si>
  <si>
    <t>OI00354</t>
  </si>
  <si>
    <t>OI00355</t>
  </si>
  <si>
    <t>OI00356</t>
  </si>
  <si>
    <t>OI00357</t>
  </si>
  <si>
    <t>OI00358</t>
  </si>
  <si>
    <t>OI00359</t>
  </si>
  <si>
    <t>OI00360</t>
  </si>
  <si>
    <t>OI00361</t>
  </si>
  <si>
    <t>OI00362</t>
  </si>
  <si>
    <t>OI00363</t>
  </si>
  <si>
    <t>OI00364</t>
  </si>
  <si>
    <t>OI00365</t>
  </si>
  <si>
    <t>OI00366</t>
  </si>
  <si>
    <t>OI00367</t>
  </si>
  <si>
    <t>OI00368</t>
  </si>
  <si>
    <t>OI00369</t>
  </si>
  <si>
    <t>OI00370</t>
  </si>
  <si>
    <t>OI00371</t>
  </si>
  <si>
    <t>OI00372</t>
  </si>
  <si>
    <t>OI00373</t>
  </si>
  <si>
    <t>OI00374</t>
  </si>
  <si>
    <t>OI00375</t>
  </si>
  <si>
    <t>OI00376</t>
  </si>
  <si>
    <t>OI00377</t>
  </si>
  <si>
    <t>OI00378</t>
  </si>
  <si>
    <t>OI00379</t>
  </si>
  <si>
    <t>OI00380</t>
  </si>
  <si>
    <t>OI00381</t>
  </si>
  <si>
    <t>OI00382</t>
  </si>
  <si>
    <t>OI00383</t>
  </si>
  <si>
    <t>OI00384</t>
  </si>
  <si>
    <t>OI00385</t>
  </si>
  <si>
    <t>OI00386</t>
  </si>
  <si>
    <t>OI00387</t>
  </si>
  <si>
    <t>OI00388</t>
  </si>
  <si>
    <t>OI00389</t>
  </si>
  <si>
    <t>OI00390</t>
  </si>
  <si>
    <t>OI00391</t>
  </si>
  <si>
    <t>OI00392</t>
  </si>
  <si>
    <t>OI00393</t>
  </si>
  <si>
    <t>OI00394</t>
  </si>
  <si>
    <t>OI00395</t>
  </si>
  <si>
    <t>OI00396</t>
  </si>
  <si>
    <t>OI00397</t>
  </si>
  <si>
    <t>OI00398</t>
  </si>
  <si>
    <t>OI00399</t>
  </si>
  <si>
    <t>OI00400</t>
  </si>
  <si>
    <t>OI00401</t>
  </si>
  <si>
    <t>OI00402</t>
  </si>
  <si>
    <t>OI00403</t>
  </si>
  <si>
    <t>OI00404</t>
  </si>
  <si>
    <t>OI00405</t>
  </si>
  <si>
    <t>OI00406</t>
  </si>
  <si>
    <t>OI00407</t>
  </si>
  <si>
    <t>OI00408</t>
  </si>
  <si>
    <t>OI00409</t>
  </si>
  <si>
    <t>OI00410</t>
  </si>
  <si>
    <t>OI00411</t>
  </si>
  <si>
    <t>OI00412</t>
  </si>
  <si>
    <t>OI00413</t>
  </si>
  <si>
    <t>OI00414</t>
  </si>
  <si>
    <t>OI00415</t>
  </si>
  <si>
    <t>OI00416</t>
  </si>
  <si>
    <t>OI00417</t>
  </si>
  <si>
    <t>OI00418</t>
  </si>
  <si>
    <t>OI00419</t>
  </si>
  <si>
    <t>OI00420</t>
  </si>
  <si>
    <t>OI00421</t>
  </si>
  <si>
    <t>OI00422</t>
  </si>
  <si>
    <t>OI00423</t>
  </si>
  <si>
    <t>OI00424</t>
  </si>
  <si>
    <t>OI00425</t>
  </si>
  <si>
    <t>OI00426</t>
  </si>
  <si>
    <t>OI00427</t>
  </si>
  <si>
    <t>OI00428</t>
  </si>
  <si>
    <t>OI00429</t>
  </si>
  <si>
    <t>OI00430</t>
  </si>
  <si>
    <t>OI00431</t>
  </si>
  <si>
    <t>OI00432</t>
  </si>
  <si>
    <t>OI00433</t>
  </si>
  <si>
    <t>OI00434</t>
  </si>
  <si>
    <t>OI00435</t>
  </si>
  <si>
    <t>OI00436</t>
  </si>
  <si>
    <t>OI00437</t>
  </si>
  <si>
    <t>OI00438</t>
  </si>
  <si>
    <t>OI00439</t>
  </si>
  <si>
    <t>OI00440</t>
  </si>
  <si>
    <t>OI00441</t>
  </si>
  <si>
    <t>OI00442</t>
  </si>
  <si>
    <t>OI00443</t>
  </si>
  <si>
    <t>OI00444</t>
  </si>
  <si>
    <t>OI00445</t>
  </si>
  <si>
    <t>OI00446</t>
  </si>
  <si>
    <t>OI00447</t>
  </si>
  <si>
    <t>OI00448</t>
  </si>
  <si>
    <t>OI00449</t>
  </si>
  <si>
    <t>OI00450</t>
  </si>
  <si>
    <t>OI00451</t>
  </si>
  <si>
    <t>OI00452</t>
  </si>
  <si>
    <t>OI00453</t>
  </si>
  <si>
    <t>OI00454</t>
  </si>
  <si>
    <t>OI00455</t>
  </si>
  <si>
    <t>OI00456</t>
  </si>
  <si>
    <t>OI00457</t>
  </si>
  <si>
    <t>OI00458</t>
  </si>
  <si>
    <t>OI00459</t>
  </si>
  <si>
    <t>OI00460</t>
  </si>
  <si>
    <t>OI00461</t>
  </si>
  <si>
    <t>OI00462</t>
  </si>
  <si>
    <t>OI00463</t>
  </si>
  <si>
    <t>OI00464</t>
  </si>
  <si>
    <t>OI00465</t>
  </si>
  <si>
    <t>OI00466</t>
  </si>
  <si>
    <t>OI00467</t>
  </si>
  <si>
    <t>OI00468</t>
  </si>
  <si>
    <t>OI00469</t>
  </si>
  <si>
    <t>OI00470</t>
  </si>
  <si>
    <t>OI00471</t>
  </si>
  <si>
    <t>OI00472</t>
  </si>
  <si>
    <t>OI00473</t>
  </si>
  <si>
    <t>OI00474</t>
  </si>
  <si>
    <t>OI00475</t>
  </si>
  <si>
    <t>OI00476</t>
  </si>
  <si>
    <t>OI00477</t>
  </si>
  <si>
    <t>OI00478</t>
  </si>
  <si>
    <t>OI00479</t>
  </si>
  <si>
    <t>OI00480</t>
  </si>
  <si>
    <t>OI00481</t>
  </si>
  <si>
    <t>OI00482</t>
  </si>
  <si>
    <t>OI00483</t>
  </si>
  <si>
    <t>OI00484</t>
  </si>
  <si>
    <t>OI00485</t>
  </si>
  <si>
    <t>OI00486</t>
  </si>
  <si>
    <t>OI00487</t>
  </si>
  <si>
    <t>OI00488</t>
  </si>
  <si>
    <t>OI00489</t>
  </si>
  <si>
    <t>OI00490</t>
  </si>
  <si>
    <t>OI00491</t>
  </si>
  <si>
    <t>OI00492</t>
  </si>
  <si>
    <t>OI00493</t>
  </si>
  <si>
    <t>OI00494</t>
  </si>
  <si>
    <t>OI00495</t>
  </si>
  <si>
    <t>OI00496</t>
  </si>
  <si>
    <t>OI00497</t>
  </si>
  <si>
    <t>OI00498</t>
  </si>
  <si>
    <t>OI00499</t>
  </si>
  <si>
    <t>OI00500</t>
  </si>
  <si>
    <t>OI00501</t>
  </si>
  <si>
    <t>OI00502</t>
  </si>
  <si>
    <t>OI00503</t>
  </si>
  <si>
    <t>OI00504</t>
  </si>
  <si>
    <t>OI00505</t>
  </si>
  <si>
    <t>OI00506</t>
  </si>
  <si>
    <t>OI00507</t>
  </si>
  <si>
    <t>OI00508</t>
  </si>
  <si>
    <t>OI00509</t>
  </si>
  <si>
    <t>OI00510</t>
  </si>
  <si>
    <t>OI00511</t>
  </si>
  <si>
    <t>OI00512</t>
  </si>
  <si>
    <t>OI00513</t>
  </si>
  <si>
    <t>OI00514</t>
  </si>
  <si>
    <t>OI00515</t>
  </si>
  <si>
    <t>OI00516</t>
  </si>
  <si>
    <t>OI00517</t>
  </si>
  <si>
    <t>OI00518</t>
  </si>
  <si>
    <t>OI00519</t>
  </si>
  <si>
    <t>OI00520</t>
  </si>
  <si>
    <t>OI00521</t>
  </si>
  <si>
    <t>OI00522</t>
  </si>
  <si>
    <t>OI00523</t>
  </si>
  <si>
    <t>OI00524</t>
  </si>
  <si>
    <t>OI00525</t>
  </si>
  <si>
    <t>OI00526</t>
  </si>
  <si>
    <t>OI00527</t>
  </si>
  <si>
    <t>OI00528</t>
  </si>
  <si>
    <t>OI00529</t>
  </si>
  <si>
    <t>OI00530</t>
  </si>
  <si>
    <t>OI00531</t>
  </si>
  <si>
    <t>OI00532</t>
  </si>
  <si>
    <t>OI00533</t>
  </si>
  <si>
    <t>OI00534</t>
  </si>
  <si>
    <t>OI00535</t>
  </si>
  <si>
    <t>OI00536</t>
  </si>
  <si>
    <t>OI00537</t>
  </si>
  <si>
    <t>OI00538</t>
  </si>
  <si>
    <t>OI00539</t>
  </si>
  <si>
    <t>OI00540</t>
  </si>
  <si>
    <t>OI00541</t>
  </si>
  <si>
    <t>OI00542</t>
  </si>
  <si>
    <t>OI00543</t>
  </si>
  <si>
    <t>OI00544</t>
  </si>
  <si>
    <t>OI00545</t>
  </si>
  <si>
    <t>OI00546</t>
  </si>
  <si>
    <t>OI00547</t>
  </si>
  <si>
    <t>OI00548</t>
  </si>
  <si>
    <t>OI00549</t>
  </si>
  <si>
    <t>OI00550</t>
  </si>
  <si>
    <t>OI00551</t>
  </si>
  <si>
    <t>OI00552</t>
  </si>
  <si>
    <t>OI00553</t>
  </si>
  <si>
    <t>OI00554</t>
  </si>
  <si>
    <t>OI00555</t>
  </si>
  <si>
    <t>OI00556</t>
  </si>
  <si>
    <t>OI00557</t>
  </si>
  <si>
    <t>OI00558</t>
  </si>
  <si>
    <t>OI00559</t>
  </si>
  <si>
    <t>OI00560</t>
  </si>
  <si>
    <t>OI00561</t>
  </si>
  <si>
    <t>OI00562</t>
  </si>
  <si>
    <t>OI00563</t>
  </si>
  <si>
    <t>OI00564</t>
  </si>
  <si>
    <t>OI00565</t>
  </si>
  <si>
    <t>OI00566</t>
  </si>
  <si>
    <t>OI00567</t>
  </si>
  <si>
    <t>OI00568</t>
  </si>
  <si>
    <t>OI00569</t>
  </si>
  <si>
    <t>OI00570</t>
  </si>
  <si>
    <t>OI00571</t>
  </si>
  <si>
    <t>OI00572</t>
  </si>
  <si>
    <t>OI00573</t>
  </si>
  <si>
    <t>OI00574</t>
  </si>
  <si>
    <t>OI00575</t>
  </si>
  <si>
    <t>OI00576</t>
  </si>
  <si>
    <t>OI00577</t>
  </si>
  <si>
    <t>OI00578</t>
  </si>
  <si>
    <t>OI00579</t>
  </si>
  <si>
    <t>OI00580</t>
  </si>
  <si>
    <t>OI00581</t>
  </si>
  <si>
    <t>OI00582</t>
  </si>
  <si>
    <t>OI00583</t>
  </si>
  <si>
    <t>OI00584</t>
  </si>
  <si>
    <t>OI00585</t>
  </si>
  <si>
    <t>OI00586</t>
  </si>
  <si>
    <t>OI00587</t>
  </si>
  <si>
    <t>OI00588</t>
  </si>
  <si>
    <t>OI00589</t>
  </si>
  <si>
    <t>OI00590</t>
  </si>
  <si>
    <t>OI00591</t>
  </si>
  <si>
    <t>OI00592</t>
  </si>
  <si>
    <t>OI00593</t>
  </si>
  <si>
    <t>OI00594</t>
  </si>
  <si>
    <t>OI00595</t>
  </si>
  <si>
    <t>OI00596</t>
  </si>
  <si>
    <t>OI00597</t>
  </si>
  <si>
    <t>OI00598</t>
  </si>
  <si>
    <t>OI00599</t>
  </si>
  <si>
    <t>OI00600</t>
  </si>
  <si>
    <t>OI00601</t>
  </si>
  <si>
    <t>OI00602</t>
  </si>
  <si>
    <t>OI00603</t>
  </si>
  <si>
    <t>OI00604</t>
  </si>
  <si>
    <t>OI00605</t>
  </si>
  <si>
    <t>OI00606</t>
  </si>
  <si>
    <t>OI00607</t>
  </si>
  <si>
    <t>OI00608</t>
  </si>
  <si>
    <t>OI00609</t>
  </si>
  <si>
    <t>OI00610</t>
  </si>
  <si>
    <t>OI00611</t>
  </si>
  <si>
    <t>OI00612</t>
  </si>
  <si>
    <t>OI00613</t>
  </si>
  <si>
    <t>OI00614</t>
  </si>
  <si>
    <t>OI00615</t>
  </si>
  <si>
    <t>OI00616</t>
  </si>
  <si>
    <t>OI00617</t>
  </si>
  <si>
    <t>OI00618</t>
  </si>
  <si>
    <t>OI00619</t>
  </si>
  <si>
    <t>OI00620</t>
  </si>
  <si>
    <t>OI00621</t>
  </si>
  <si>
    <t>OI00622</t>
  </si>
  <si>
    <t>OI00623</t>
  </si>
  <si>
    <t>OI00624</t>
  </si>
  <si>
    <t>OI00625</t>
  </si>
  <si>
    <t>OI00626</t>
  </si>
  <si>
    <t>OI00627</t>
  </si>
  <si>
    <t>OI00628</t>
  </si>
  <si>
    <t>OI00629</t>
  </si>
  <si>
    <t>OI00630</t>
  </si>
  <si>
    <t>OI00631</t>
  </si>
  <si>
    <t>OI00632</t>
  </si>
  <si>
    <t>OI00633</t>
  </si>
  <si>
    <t>OI00634</t>
  </si>
  <si>
    <t>OI00635</t>
  </si>
  <si>
    <t>OI00636</t>
  </si>
  <si>
    <t>OI00637</t>
  </si>
  <si>
    <t>OI00638</t>
  </si>
  <si>
    <t>OI00639</t>
  </si>
  <si>
    <t>OI00640</t>
  </si>
  <si>
    <t>OI00641</t>
  </si>
  <si>
    <t>OI00642</t>
  </si>
  <si>
    <t>OI00643</t>
  </si>
  <si>
    <t>OI00644</t>
  </si>
  <si>
    <t>OI00645</t>
  </si>
  <si>
    <t>OI00646</t>
  </si>
  <si>
    <t>OI00647</t>
  </si>
  <si>
    <t>OI00648</t>
  </si>
  <si>
    <t>OI00649</t>
  </si>
  <si>
    <t>OI00650</t>
  </si>
  <si>
    <t>OI00651</t>
  </si>
  <si>
    <t>OI00652</t>
  </si>
  <si>
    <t>OI00653</t>
  </si>
  <si>
    <t>OI00654</t>
  </si>
  <si>
    <t>OI00655</t>
  </si>
  <si>
    <t>OI00656</t>
  </si>
  <si>
    <t>OI00657</t>
  </si>
  <si>
    <t>OI00658</t>
  </si>
  <si>
    <t>OI00659</t>
  </si>
  <si>
    <t>OI00660</t>
  </si>
  <si>
    <t>OI00661</t>
  </si>
  <si>
    <t>OI00662</t>
  </si>
  <si>
    <t>OI00663</t>
  </si>
  <si>
    <t>OI00664</t>
  </si>
  <si>
    <t>OI00665</t>
  </si>
  <si>
    <t>OI00666</t>
  </si>
  <si>
    <t>OI00667</t>
  </si>
  <si>
    <t>OI00668</t>
  </si>
  <si>
    <t>OI00669</t>
  </si>
  <si>
    <t>OI00670</t>
  </si>
  <si>
    <t>OI00671</t>
  </si>
  <si>
    <t>OI00672</t>
  </si>
  <si>
    <t>OI00673</t>
  </si>
  <si>
    <t>OI00674</t>
  </si>
  <si>
    <t>OI00675</t>
  </si>
  <si>
    <t>OI00676</t>
  </si>
  <si>
    <t>OI00677</t>
  </si>
  <si>
    <t>OI00678</t>
  </si>
  <si>
    <t>OI00679</t>
  </si>
  <si>
    <t>OI00680</t>
  </si>
  <si>
    <t>OI00681</t>
  </si>
  <si>
    <t>OI00682</t>
  </si>
  <si>
    <t>OI00683</t>
  </si>
  <si>
    <t>OI00684</t>
  </si>
  <si>
    <t>OI00685</t>
  </si>
  <si>
    <t>OI00686</t>
  </si>
  <si>
    <t>OI00687</t>
  </si>
  <si>
    <t>OI00688</t>
  </si>
  <si>
    <t>OI00689</t>
  </si>
  <si>
    <t>OI00690</t>
  </si>
  <si>
    <t>OI00691</t>
  </si>
  <si>
    <t>OI00692</t>
  </si>
  <si>
    <t>OI00693</t>
  </si>
  <si>
    <t>OI00694</t>
  </si>
  <si>
    <t>OI00695</t>
  </si>
  <si>
    <t>OI00696</t>
  </si>
  <si>
    <t>OI00697</t>
  </si>
  <si>
    <t>OI00698</t>
  </si>
  <si>
    <t>OI00699</t>
  </si>
  <si>
    <t>OI00700</t>
  </si>
  <si>
    <t>OI00701</t>
  </si>
  <si>
    <t>OI00702</t>
  </si>
  <si>
    <t>OI00703</t>
  </si>
  <si>
    <t>OI00704</t>
  </si>
  <si>
    <t>OI00705</t>
  </si>
  <si>
    <t>OI00706</t>
  </si>
  <si>
    <t>OI00707</t>
  </si>
  <si>
    <t>OI00708</t>
  </si>
  <si>
    <t>OI00709</t>
  </si>
  <si>
    <t>OI00710</t>
  </si>
  <si>
    <t>OI00711</t>
  </si>
  <si>
    <t>OI00712</t>
  </si>
  <si>
    <t>OI00713</t>
  </si>
  <si>
    <t>OI00714</t>
  </si>
  <si>
    <t>OI00715</t>
  </si>
  <si>
    <t>OI00716</t>
  </si>
  <si>
    <t>OI00717</t>
  </si>
  <si>
    <t>OI00718</t>
  </si>
  <si>
    <t>OI00719</t>
  </si>
  <si>
    <t>OI00720</t>
  </si>
  <si>
    <t>OI00721</t>
  </si>
  <si>
    <t>OI00722</t>
  </si>
  <si>
    <t>OI00723</t>
  </si>
  <si>
    <t>OI00724</t>
  </si>
  <si>
    <t>OI00725</t>
  </si>
  <si>
    <t>OI00726</t>
  </si>
  <si>
    <t>OI00727</t>
  </si>
  <si>
    <t>OI00728</t>
  </si>
  <si>
    <t>OI00729</t>
  </si>
  <si>
    <t>OI00730</t>
  </si>
  <si>
    <t>OI00731</t>
  </si>
  <si>
    <t>OI00732</t>
  </si>
  <si>
    <t>OI00733</t>
  </si>
  <si>
    <t>OI00734</t>
  </si>
  <si>
    <t>OI00735</t>
  </si>
  <si>
    <t>OI00736</t>
  </si>
  <si>
    <t>OI00737</t>
  </si>
  <si>
    <t>OI00738</t>
  </si>
  <si>
    <t>OI00739</t>
  </si>
  <si>
    <t>OI00740</t>
  </si>
  <si>
    <t>OI00741</t>
  </si>
  <si>
    <t>OI00742</t>
  </si>
  <si>
    <t>OI00743</t>
  </si>
  <si>
    <t>Shipment_ID</t>
  </si>
  <si>
    <t>Dispatch_Date</t>
  </si>
  <si>
    <t>Planned_Delivery_Date</t>
  </si>
  <si>
    <t>Actual_Delivery_Date</t>
  </si>
  <si>
    <t>S0001</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</si>
  <si>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</si>
  <si>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</si>
  <si>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</si>
  <si>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</si>
  <si>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</si>
  <si>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</si>
  <si>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</si>
  <si>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</si>
  <si>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</si>
  <si>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</si>
  <si>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</si>
  <si>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</si>
  <si>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</si>
  <si>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</si>
  <si>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</si>
  <si>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</si>
  <si>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</si>
  <si>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</si>
  <si>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</si>
  <si>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</si>
  <si>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</si>
  <si>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</si>
  <si>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</si>
  <si>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</si>
  <si>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</si>
  <si>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</si>
  <si>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</si>
  <si>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</si>
  <si>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</si>
  <si>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</si>
  <si>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</si>
  <si>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</si>
  <si>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</si>
  <si>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</si>
  <si>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</si>
  <si>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</si>
  <si>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</si>
  <si>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</si>
  <si>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</si>
  <si>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</si>
  <si>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</si>
  <si>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</si>
  <si>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</si>
  <si>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</si>
  <si>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</si>
  <si>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</si>
  <si>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</si>
  <si>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</si>
  <si>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</si>
  <si>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</si>
  <si>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</si>
  <si>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</si>
  <si>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</si>
  <si>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</si>
  <si>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</si>
  <si>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</si>
  <si>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</si>
  <si>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</si>
  <si>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</si>
  <si>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</si>
  <si>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</si>
  <si>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</si>
  <si>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</si>
  <si>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</si>
  <si>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</si>
  <si>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</si>
  <si>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</si>
  <si>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</si>
  <si>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</si>
  <si>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</si>
  <si>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</si>
  <si>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</si>
  <si>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</si>
  <si>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</si>
  <si>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</si>
  <si>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</si>
  <si>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</si>
  <si>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</si>
  <si>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</si>
  <si>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</si>
  <si>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</si>
  <si>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</si>
  <si>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</si>
  <si>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</si>
  <si>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</si>
  <si>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</si>
  <si>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</si>
  <si>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</si>
  <si>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</si>
  <si>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</si>
  <si>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</si>
  <si>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</si>
  <si>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</si>
  <si>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</si>
  <si>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</si>
  <si>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</si>
  <si>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</si>
  <si>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</si>
  <si>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</si>
  <si>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</si>
  <si>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</si>
  <si>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</si>
  <si>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</si>
  <si>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</si>
  <si>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</si>
  <si>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</si>
  <si>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</si>
  <si>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</si>
  <si>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</si>
  <si>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</si>
  <si>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</si>
  <si>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</si>
  <si>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</si>
  <si>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</si>
  <si>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</si>
  <si>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</si>
  <si>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</si>
  <si>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</si>
  <si>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</si>
  <si>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</si>
  <si>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</si>
  <si>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</si>
  <si>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</si>
  <si>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</si>
  <si>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</si>
  <si>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</si>
  <si>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</si>
  <si>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</si>
  <si>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</si>
  <si>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</si>
  <si>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</si>
  <si>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</si>
  <si>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</si>
  <si>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</si>
  <si>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</si>
  <si>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</si>
  <si>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</si>
  <si>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</si>
  <si>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</si>
  <si>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</si>
  <si>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</si>
  <si>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</si>
  <si>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</si>
  <si>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</si>
  <si>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</si>
  <si>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</si>
  <si>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</si>
  <si>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</si>
  <si>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</si>
  <si>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</si>
  <si>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</si>
  <si>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</si>
  <si>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</si>
  <si>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</si>
  <si>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</si>
  <si>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</si>
  <si>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</si>
  <si>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</si>
  <si>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</si>
  <si>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</si>
  <si>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</si>
  <si>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</si>
  <si>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</si>
  <si>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</si>
  <si>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</si>
  <si>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</si>
  <si>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</si>
  <si>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</si>
  <si>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</si>
  <si>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</si>
  <si>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</si>
  <si>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</si>
  <si>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</si>
  <si>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</si>
  <si>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</si>
  <si>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</si>
  <si>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</si>
  <si>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</si>
  <si>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</si>
  <si>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</si>
  <si>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</si>
  <si>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</si>
  <si>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</si>
  <si>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</si>
  <si>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</si>
  <si>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</si>
  <si>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</si>
  <si>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</si>
  <si>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</si>
  <si>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</si>
  <si>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</si>
  <si>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</si>
  <si>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</si>
  <si>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</si>
  <si>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</si>
  <si>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</si>
  <si>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</si>
  <si>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</si>
  <si>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</si>
  <si>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</si>
  <si>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</si>
  <si>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</si>
  <si>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</si>
  <si>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</si>
  <si>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</si>
  <si>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</si>
  <si>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</si>
  <si>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</si>
  <si>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</si>
  <si>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</si>
  <si>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</si>
  <si>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</si>
  <si>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</si>
  <si>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</si>
  <si>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</si>
  <si>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</si>
  <si>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</si>
  <si>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</si>
  <si>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</si>
  <si>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</si>
  <si>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</si>
  <si>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</si>
  <si>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</si>
  <si>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</si>
  <si>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</si>
  <si>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</si>
  <si>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</si>
  <si>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</si>
  <si>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</si>
  <si>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</si>
  <si>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</si>
  <si>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</si>
  <si>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</si>
  <si>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</si>
  <si>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</si>
  <si>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</si>
  <si>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</si>
  <si>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</si>
  <si>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</si>
  <si>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</si>
  <si>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</si>
  <si>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</si>
  <si>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</si>
  <si>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</si>
  <si>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</si>
  <si>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</si>
  <si>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</si>
  <si>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</si>
  <si>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</si>
  <si>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</si>
  <si>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</si>
  <si>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</si>
  <si>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</si>
  <si>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</si>
  <si>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</si>
  <si>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</si>
  <si>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</si>
  <si>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</si>
  <si>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</si>
  <si>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</si>
  <si>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</si>
  <si>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</si>
  <si>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</si>
  <si>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</si>
  <si>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</si>
  <si>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</si>
  <si>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</si>
  <si>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</si>
  <si>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</si>
  <si>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</si>
  <si>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</si>
  <si>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</si>
  <si>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</si>
  <si>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</si>
  <si>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</si>
  <si>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</si>
  <si>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</si>
  <si>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</si>
  <si>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</si>
  <si>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</si>
  <si>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</si>
  <si>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</si>
  <si>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</si>
  <si>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</si>
  <si>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</si>
  <si>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</si>
  <si>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</si>
  <si>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</si>
  <si>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</si>
  <si>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</si>
  <si>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</si>
  <si>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</si>
  <si>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</si>
  <si>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</si>
  <si>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</si>
  <si>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</si>
  <si>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</si>
  <si>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</si>
  <si>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</si>
  <si>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</si>
  <si>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</si>
  <si>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</si>
  <si>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</si>
  <si>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</si>
  <si>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</si>
  <si>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</si>
  <si>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</si>
  <si>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</si>
  <si>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</si>
  <si>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</si>
  <si>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</si>
  <si>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</si>
  <si>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</si>
  <si>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</si>
  <si>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</si>
  <si>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</si>
  <si>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</si>
  <si>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</si>
  <si>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</si>
  <si>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Delay_Days</t>
  </si>
  <si>
    <t>Delivery_Status</t>
  </si>
  <si>
    <t>Delay_Category</t>
  </si>
  <si>
    <t>Row Labels</t>
  </si>
  <si>
    <t>Late</t>
  </si>
  <si>
    <t>On Time</t>
  </si>
  <si>
    <t>Grand Total</t>
  </si>
  <si>
    <t>Count of Shipment_ID</t>
  </si>
  <si>
    <t>Average of Delay_Days</t>
  </si>
  <si>
    <t>Minor Delay</t>
  </si>
  <si>
    <t>Major Delay</t>
  </si>
  <si>
    <t>European Logistics Performance Dashboard</t>
  </si>
  <si>
    <t>Delivery Reliability Rate</t>
  </si>
  <si>
    <t>Operational Performance</t>
  </si>
  <si>
    <t>Delay Monitoring</t>
  </si>
  <si>
    <t>Network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</si>
</sst>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3" x14ac:knownFonts="1">
    <font>
      <sz val="11"/>
      <color theme="1"/>
      <name val="Calibri"/>
      <family val="2"/>
      <scheme val="minor"/>
    </font>
    <font>
      <b/>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0" fontId="0" fillId="0" borderId="0" xfId="0" applyNumberFormat="1"/>
    <xf numFmtId="2" fontId="0" fillId="0" borderId="0" xfId="0" applyNumberFormat="1"/>
    <xf numFmtId="0" fontId="2" fillId="0" borderId="0" xfId="0" applyFont="1" applyAlignme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06">
    <dxf>
      <numFmt numFmtId="2" formatCode="0.00"/>
    </dxf>
    <dxf>
      <numFmt numFmtId="165" formatCode="0.000"/>
    </dxf>
    <dxf>
      <numFmt numFmtId="166" formatCode="0.0000"/>
    </dxf>
    <dxf>
      <numFmt numFmtId="167" formatCode="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71" formatCode="0.0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72"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72" formatCode="0.0"/>
    </dxf>
    <dxf>
      <numFmt numFmtId="1" formatCode="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72"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3" formatCode="0.0%"/>
    </dxf>
    <dxf>
      <numFmt numFmtId="14" formatCode="0.00%"/>
    </dxf>
    <dxf>
      <numFmt numFmtId="173" formatCode="0.0%"/>
    </dxf>
    <dxf>
      <numFmt numFmtId="13"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[Logistics_Project_Workbook.xlsx]On_Time_Delivery_Perf!PivotTable1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On_Time_Delivery_Perf!$B$3</c:f>
              <c:strCache>
                <c:ptCount val="1"/>
                <c:pt idx="0">
                  <c:v>Total</c:v>
                </c:pt>
              </c:strCache>
            </c:strRef>
          </c:tx>
          <c:spPr>
            <a:solidFill>
              <a:schemeClr val="accent1"/>
            </a:solidFill>
            <a:ln>
              <a:noFill/>
            </a:ln>
            <a:effectLst/>
          </c:spPr>
          <c:invertIfNegative val="0"/>
          <c:cat>
            <c:strRef>
              <c:f>On_Time_Delivery_Perf!$A$4:$A$6</c:f>
              <c:strCache>
                <c:ptCount val="2"/>
                <c:pt idx="0">
                  <c:v>Late</c:v>
                </c:pt>
                <c:pt idx="1">
                  <c:v>On Time</c:v>
                </c:pt>
              </c:strCache>
            </c:strRef>
          </c:cat>
          <c:val>
            <c:numRef>
              <c:f>On_Time_Delivery_Perf!$B$4:$B$6</c:f>
              <c:numCache>
                <c:formatCode>0.00%</c:formatCode>
                <c:ptCount val="2"/>
                <c:pt idx="0">
                  <c:v>0.328125</c:v>
                </c:pt>
                <c:pt idx="1">
                  <c:v>0.671875</c:v>
                </c:pt>
              </c:numCache>
            </c:numRef>
          </c:val>
          <c:extLst>
            <c:ext xmlns:c16="http://schemas.microsoft.com/office/drawing/2014/chart" uri="{C3380CC4-5D6E-409C-BE32-E72D297353CC}">
              <c16:uniqueId val="{00000000-9D10-4EFF-9CB1-8AF79F7E7533}"/>
            </c:ext>
          </c:extLst>
        </c:ser>
        <c:dLbls>
          <c:showLegendKey val="0"/>
          <c:showVal val="0"/>
          <c:showCatName val="0"/>
          <c:showSerName val="0"/>
          <c:showPercent val="0"/>
          <c:showBubbleSize val="0"/>
        </c:dLbls>
        <c:gapWidth val="219"/>
        <c:overlap val="-27"/>
        <c:axId val="1392255695"/>
        <c:axId val="1392252783"/>
      </c:barChart>
      <c:catAx>
        <c:axId val="139225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2783"/>
        <c:crosses val="autoZero"/>
        <c:auto val="1"/>
        <c:lblAlgn val="ctr"/>
        <c:lblOffset val="100"/>
        <c:noMultiLvlLbl val="0"/>
      </c:catAx>
      <c:valAx>
        <c:axId val="1392252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5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[Logistics_Project_Workbook.xlsx]Warehouse_Performance!PivotTable2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Warehouse_Performance!$B$3</c:f>
              <c:strCache>
                <c:ptCount val="1"/>
                <c:pt idx="0">
                  <c:v>Total</c:v>
                </c:pt>
              </c:strCache>
            </c:strRef>
          </c:tx>
          <c:spPr>
            <a:solidFill>
              <a:schemeClr val="accent1"/>
            </a:solidFill>
            <a:ln>
              <a:noFill/>
            </a:ln>
            <a:effectLst/>
          </c:spPr>
          <c:invertIfNegative val="0"/>
          <c:cat>
            <c:strRef>
              <c:f>Warehouse_Performance!$A$4:$A$9</c:f>
              <c:strCache>
                <c:ptCount val="5"/>
                <c:pt idx="0">
                  <c:v>W001</c:v>
                </c:pt>
                <c:pt idx="1">
                  <c:v>W002</c:v>
                </c:pt>
                <c:pt idx="2">
                  <c:v>W003</c:v>
                </c:pt>
                <c:pt idx="3">
                  <c:v>W004</c:v>
                </c:pt>
                <c:pt idx="4">
                  <c:v>W005</c:v>
                </c:pt>
              </c:strCache>
            </c:strRef>
          </c:cat>
          <c:val>
            <c:numRef>
              <c:f>Warehouse_Performance!$B$4:$B$9</c:f>
              <c:numCache>
                <c:formatCode>General</c:formatCode>
                <c:ptCount val="5"/>
                <c:pt idx="0">
                  <c:v>55</c:v>
                </c:pt>
                <c:pt idx="1">
                  <c:v>72</c:v>
                </c:pt>
                <c:pt idx="2">
                  <c:v>55</c:v>
                </c:pt>
                <c:pt idx="3">
                  <c:v>78</c:v>
                </c:pt>
                <c:pt idx="4">
                  <c:v>60</c:v>
                </c:pt>
              </c:numCache>
            </c:numRef>
          </c:val>
          <c:extLst>
            <c:ext xmlns:c16="http://schemas.microsoft.com/office/drawing/2014/chart" uri="{C3380CC4-5D6E-409C-BE32-E72D297353CC}">
              <c16:uniqueId val="{00000003-5A17-41AF-83E4-3AC26120FD9F}"/>
            </c:ext>
          </c:extLst>
        </c:ser>
        <c:dLbls>
          <c:showLegendKey val="0"/>
          <c:showVal val="0"/>
          <c:showCatName val="0"/>
          <c:showSerName val="0"/>
          <c:showPercent val="0"/>
          <c:showBubbleSize val="0"/>
        </c:dLbls>
        <c:gapWidth val="219"/>
        <c:overlap val="-27"/>
        <c:axId val="1417497647"/>
        <c:axId val="1417493903"/>
      </c:barChart>
      <c:catAx>
        <c:axId val="141749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93903"/>
        <c:crosses val="autoZero"/>
        <c:auto val="1"/>
        <c:lblAlgn val="ctr"/>
        <c:lblOffset val="100"/>
        <c:noMultiLvlLbl val="0"/>
      </c:catAx>
      <c:valAx>
        <c:axId val="141749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976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[Logistics_Project_Workbook.xlsx]Route_Performance!PivotTable3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Route_Performance!$B$3</c:f>
              <c:strCache>
                <c:ptCount val="1"/>
                <c:pt idx="0">
                  <c:v>Total</c:v>
                </c:pt>
              </c:strCache>
            </c:strRef>
          </c:tx>
          <c:spPr>
            <a:solidFill>
              <a:schemeClr val="accent1"/>
            </a:solidFill>
            <a:ln>
              <a:noFill/>
            </a:ln>
            <a:effectLst/>
          </c:spPr>
          <c:invertIfNegative val="0"/>
          <c:cat>
            <c:strRef>
              <c:f>Route_Performance!$A$4:$A$16</c:f>
              <c:strCache>
                <c:ptCount val="12"/>
                <c:pt idx="0">
                  <c:v>R001</c:v>
                </c:pt>
                <c:pt idx="1">
                  <c:v>R002</c:v>
                </c:pt>
                <c:pt idx="2">
                  <c:v>R003</c:v>
                </c:pt>
                <c:pt idx="3">
                  <c:v>R004</c:v>
                </c:pt>
                <c:pt idx="4">
                  <c:v>R005</c:v>
                </c:pt>
                <c:pt idx="5">
                  <c:v>R006</c:v>
                </c:pt>
                <c:pt idx="6">
                  <c:v>R007</c:v>
                </c:pt>
                <c:pt idx="7">
                  <c:v>R008</c:v>
                </c:pt>
                <c:pt idx="8">
                  <c:v>R009</c:v>
                </c:pt>
                <c:pt idx="9">
                  <c:v>R010</c:v>
                </c:pt>
                <c:pt idx="10">
                  <c:v>R011</c:v>
                </c:pt>
                <c:pt idx="11">
                  <c:v>R012</c:v>
                </c:pt>
              </c:strCache>
            </c:strRef>
          </c:cat>
          <c:val>
            <c:numRef>
              <c:f>Route_Performance!$B$4:$B$16</c:f>
              <c:numCache>
                <c:formatCode>0.00</c:formatCode>
                <c:ptCount val="12"/>
                <c:pt idx="0">
                  <c:v>0.52173913043478259</c:v>
                </c:pt>
                <c:pt idx="1">
                  <c:v>1.2222222222222223</c:v>
                </c:pt>
                <c:pt idx="2">
                  <c:v>1</c:v>
                </c:pt>
                <c:pt idx="3">
                  <c:v>1.6956521739130435</c:v>
                </c:pt>
                <c:pt idx="4">
                  <c:v>1.1724137931034482</c:v>
                </c:pt>
                <c:pt idx="5">
                  <c:v>0.92307692307692313</c:v>
                </c:pt>
                <c:pt idx="6">
                  <c:v>0.93333333333333335</c:v>
                </c:pt>
                <c:pt idx="7">
                  <c:v>1.4</c:v>
                </c:pt>
                <c:pt idx="8">
                  <c:v>0.89655172413793105</c:v>
                </c:pt>
                <c:pt idx="9">
                  <c:v>0.92307692307692313</c:v>
                </c:pt>
                <c:pt idx="10">
                  <c:v>1</c:v>
                </c:pt>
                <c:pt idx="11">
                  <c:v>0.53846153846153844</c:v>
                </c:pt>
              </c:numCache>
            </c:numRef>
          </c:val>
          <c:extLst>
            <c:ext xmlns:c16="http://schemas.microsoft.com/office/drawing/2014/chart" uri="{C3380CC4-5D6E-409C-BE32-E72D297353CC}">
              <c16:uniqueId val="{00000000-DD98-4502-8BA5-C39046ABDFF8}"/>
            </c:ext>
          </c:extLst>
        </c:ser>
        <c:dLbls>
          <c:showLegendKey val="0"/>
          <c:showVal val="0"/>
          <c:showCatName val="0"/>
          <c:showSerName val="0"/>
          <c:showPercent val="0"/>
          <c:showBubbleSize val="0"/>
        </c:dLbls>
        <c:gapWidth val="219"/>
        <c:overlap val="-27"/>
        <c:axId val="1368804127"/>
        <c:axId val="1368806623"/>
      </c:barChart>
      <c:catAx>
        <c:axId val="136880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06623"/>
        <c:crosses val="autoZero"/>
        <c:auto val="1"/>
        <c:lblAlgn val="ctr"/>
        <c:lblOffset val="100"/>
        <c:noMultiLvlLbl val="0"/>
      </c:catAx>
      <c:valAx>
        <c:axId val="1368806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041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[Logistics_Project_Workbook.xlsx]Delay_Category!PivotTable4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Delay_Category!$B$3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BB-415B-A748-EB2F81423A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BB-415B-A748-EB2F81423A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BB-415B-A748-EB2F81423ADE}"/>
              </c:ext>
            </c:extLst>
          </c:dPt>
          <c:cat>
            <c:strRef>
              <c:f>Delay_Category!$A$4:$A$7</c:f>
              <c:strCache>
                <c:ptCount val="3"/>
                <c:pt idx="0">
                  <c:v>Major Delay</c:v>
                </c:pt>
                <c:pt idx="1">
                  <c:v>Minor Delay</c:v>
                </c:pt>
                <c:pt idx="2">
                  <c:v>On Time</c:v>
                </c:pt>
              </c:strCache>
            </c:strRef>
          </c:cat>
          <c:val>
            <c:numRef>
              <c:f>Delay_Category!$B$4:$B$7</c:f>
              <c:numCache>
                <c:formatCode>General</c:formatCode>
                <c:ptCount val="3"/>
                <c:pt idx="0">
                  <c:v>65</c:v>
                </c:pt>
                <c:pt idx="1">
                  <c:v>40</c:v>
                </c:pt>
                <c:pt idx="2">
                  <c:v>215</c:v>
                </c:pt>
              </c:numCache>
            </c:numRef>
          </c:val>
          <c:extLst>
            <c:ext xmlns:c16="http://schemas.microsoft.com/office/drawing/2014/chart" uri="{C3380CC4-5D6E-409C-BE32-E72D297353CC}">
              <c16:uniqueId val="{00000000-5F42-4303-9D03-5090B4BD52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[Logistics_Project_Workbook.xlsx]On_Time_Delivery_Perf!PivotTable1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On-Time</a:t>
            </a:r>
            <a:r>
              <a:rPr lang="en-US" baseline="0"/>
              <a:t> Delivery Rate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On_Time_Delivery_Perf!$B$3</c:f>
              <c:strCache>
                <c:ptCount val="1"/>
                <c:pt idx="0">
                  <c:v>Total</c:v>
                </c:pt>
              </c:strCache>
            </c:strRef>
          </c:tx>
          <c:spPr>
            <a:solidFill>
              <a:schemeClr val="accent1"/>
            </a:solidFill>
            <a:ln>
              <a:noFill/>
            </a:ln>
            <a:effectLst/>
          </c:spPr>
          <c:invertIfNegative val="0"/>
          <c:cat>
            <c:strRef>
              <c:f>On_Time_Delivery_Perf!$A$4:$A$6</c:f>
              <c:strCache>
                <c:ptCount val="2"/>
                <c:pt idx="0">
                  <c:v>Late</c:v>
                </c:pt>
                <c:pt idx="1">
                  <c:v>On Time</c:v>
                </c:pt>
              </c:strCache>
            </c:strRef>
          </c:cat>
          <c:val>
            <c:numRef>
              <c:f>On_Time_Delivery_Perf!$B$4:$B$6</c:f>
              <c:numCache>
                <c:formatCode>0.00%</c:formatCode>
                <c:ptCount val="2"/>
                <c:pt idx="0">
                  <c:v>0.328125</c:v>
                </c:pt>
                <c:pt idx="1">
                  <c:v>0.671875</c:v>
                </c:pt>
              </c:numCache>
            </c:numRef>
          </c:val>
          <c:extLst>
            <c:ext xmlns:c16="http://schemas.microsoft.com/office/drawing/2014/chart" uri="{C3380CC4-5D6E-409C-BE32-E72D297353CC}">
              <c16:uniqueId val="{00000000-5597-4D5E-AB22-A11A1FFA49BF}"/>
            </c:ext>
          </c:extLst>
        </c:ser>
        <c:dLbls>
          <c:showLegendKey val="0"/>
          <c:showVal val="0"/>
          <c:showCatName val="0"/>
          <c:showSerName val="0"/>
          <c:showPercent val="0"/>
          <c:showBubbleSize val="0"/>
        </c:dLbls>
        <c:gapWidth val="219"/>
        <c:overlap val="-27"/>
        <c:axId val="1392255695"/>
        <c:axId val="1392252783"/>
      </c:barChart>
      <c:catAx>
        <c:axId val="1392255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Delivery</a:t>
                </a:r>
                <a:r>
                  <a:rPr lang="en-GB" baseline="0"/>
                  <a:t> Status</a:t>
                </a:r>
                <a:endParaRPr lang="en-GB"/>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2783"/>
        <c:crosses val="autoZero"/>
        <c:auto val="1"/>
        <c:lblAlgn val="ctr"/>
        <c:lblOffset val="100"/>
        <c:noMultiLvlLbl val="0"/>
      </c:catAx>
      <c:valAx>
        <c:axId val="1392252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Shipment Count</a:t>
                </a:r>
              </a:p>
              <a:p>
                <a:pPr>
                  <a:defRPr/>
                </a:pP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5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[Logistics_Project_Workbook.xlsx]Warehouse_Performance!PivotTable2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Warehouse Operational Performance</a:t>
            </a:r>
            <a:r>
              <a:rPr lang="en-US" baseline="0"/>
              <a:t> (Average Delay)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Warehouse_Performance!$B$3</c:f>
              <c:strCache>
                <c:ptCount val="1"/>
                <c:pt idx="0">
                  <c:v>Total</c:v>
                </c:pt>
              </c:strCache>
            </c:strRef>
          </c:tx>
          <c:spPr>
            <a:solidFill>
              <a:schemeClr val="accent1"/>
            </a:solidFill>
            <a:ln>
              <a:noFill/>
            </a:ln>
            <a:effectLst/>
          </c:spPr>
          <c:invertIfNegative val="0"/>
          <c:cat>
            <c:strRef>
              <c:f>Warehouse_Performance!$A$4:$A$9</c:f>
              <c:strCache>
                <c:ptCount val="5"/>
                <c:pt idx="0">
                  <c:v>W001</c:v>
                </c:pt>
                <c:pt idx="1">
                  <c:v>W002</c:v>
                </c:pt>
                <c:pt idx="2">
                  <c:v>W003</c:v>
                </c:pt>
                <c:pt idx="3">
                  <c:v>W004</c:v>
                </c:pt>
                <c:pt idx="4">
                  <c:v>W005</c:v>
                </c:pt>
              </c:strCache>
            </c:strRef>
          </c:cat>
          <c:val>
            <c:numRef>
              <c:f>Warehouse_Performance!$B$4:$B$9</c:f>
              <c:numCache>
                <c:formatCode>General</c:formatCode>
                <c:ptCount val="5"/>
                <c:pt idx="0">
                  <c:v>55</c:v>
                </c:pt>
                <c:pt idx="1">
                  <c:v>72</c:v>
                </c:pt>
                <c:pt idx="2">
                  <c:v>55</c:v>
                </c:pt>
                <c:pt idx="3">
                  <c:v>78</c:v>
                </c:pt>
                <c:pt idx="4">
                  <c:v>60</c:v>
                </c:pt>
              </c:numCache>
            </c:numRef>
          </c:val>
          <c:extLst>
            <c:ext xmlns:c16="http://schemas.microsoft.com/office/drawing/2014/chart" uri="{C3380CC4-5D6E-409C-BE32-E72D297353CC}">
              <c16:uniqueId val="{00000003-8AC9-44D0-9301-78FF751FEECD}"/>
            </c:ext>
          </c:extLst>
        </c:ser>
        <c:dLbls>
          <c:showLegendKey val="0"/>
          <c:showVal val="0"/>
          <c:showCatName val="0"/>
          <c:showSerName val="0"/>
          <c:showPercent val="0"/>
          <c:showBubbleSize val="0"/>
        </c:dLbls>
        <c:gapWidth val="219"/>
        <c:overlap val="-27"/>
        <c:axId val="1417497647"/>
        <c:axId val="1417493903"/>
      </c:barChart>
      <c:catAx>
        <c:axId val="1417497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Warehouse</a:t>
                </a:r>
                <a:r>
                  <a:rPr lang="en-GB" baseline="0"/>
                  <a:t> Location</a:t>
                </a:r>
                <a:endParaRPr lang="en-GB"/>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93903"/>
        <c:crosses val="autoZero"/>
        <c:auto val="1"/>
        <c:lblAlgn val="ctr"/>
        <c:lblOffset val="100"/>
        <c:noMultiLvlLbl val="0"/>
      </c:catAx>
      <c:valAx>
        <c:axId val="1417493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Delay(Days)</a:t>
                </a: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976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[Logistics_Project_Workbook.xlsx]Route_Performance!PivotTable3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Route Performance</a:t>
            </a:r>
            <a:r>
              <a:rPr lang="en-US" baseline="0"/>
              <a:t> &amp; </a:t>
            </a:r>
            <a:r>
              <a:rPr lang="en-US"/>
              <a:t>Delay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Route_Performance!$B$3</c:f>
              <c:strCache>
                <c:ptCount val="1"/>
                <c:pt idx="0">
                  <c:v>Total</c:v>
                </c:pt>
              </c:strCache>
            </c:strRef>
          </c:tx>
          <c:spPr>
            <a:solidFill>
              <a:schemeClr val="accent1"/>
            </a:solidFill>
            <a:ln>
              <a:noFill/>
            </a:ln>
            <a:effectLst/>
          </c:spPr>
          <c:invertIfNegative val="0"/>
          <c:cat>
            <c:strRef>
              <c:f>Route_Performance!$A$4:$A$16</c:f>
              <c:strCache>
                <c:ptCount val="12"/>
                <c:pt idx="0">
                  <c:v>R001</c:v>
                </c:pt>
                <c:pt idx="1">
                  <c:v>R002</c:v>
                </c:pt>
                <c:pt idx="2">
                  <c:v>R003</c:v>
                </c:pt>
                <c:pt idx="3">
                  <c:v>R004</c:v>
                </c:pt>
                <c:pt idx="4">
                  <c:v>R005</c:v>
                </c:pt>
                <c:pt idx="5">
                  <c:v>R006</c:v>
                </c:pt>
                <c:pt idx="6">
                  <c:v>R007</c:v>
                </c:pt>
                <c:pt idx="7">
                  <c:v>R008</c:v>
                </c:pt>
                <c:pt idx="8">
                  <c:v>R009</c:v>
                </c:pt>
                <c:pt idx="9">
                  <c:v>R010</c:v>
                </c:pt>
                <c:pt idx="10">
                  <c:v>R011</c:v>
                </c:pt>
                <c:pt idx="11">
                  <c:v>R012</c:v>
                </c:pt>
              </c:strCache>
            </c:strRef>
          </c:cat>
          <c:val>
            <c:numRef>
              <c:f>Route_Performance!$B$4:$B$16</c:f>
              <c:numCache>
                <c:formatCode>0.00</c:formatCode>
                <c:ptCount val="12"/>
                <c:pt idx="0">
                  <c:v>0.52173913043478259</c:v>
                </c:pt>
                <c:pt idx="1">
                  <c:v>1.2222222222222223</c:v>
                </c:pt>
                <c:pt idx="2">
                  <c:v>1</c:v>
                </c:pt>
                <c:pt idx="3">
                  <c:v>1.6956521739130435</c:v>
                </c:pt>
                <c:pt idx="4">
                  <c:v>1.1724137931034482</c:v>
                </c:pt>
                <c:pt idx="5">
                  <c:v>0.92307692307692313</c:v>
                </c:pt>
                <c:pt idx="6">
                  <c:v>0.93333333333333335</c:v>
                </c:pt>
                <c:pt idx="7">
                  <c:v>1.4</c:v>
                </c:pt>
                <c:pt idx="8">
                  <c:v>0.89655172413793105</c:v>
                </c:pt>
                <c:pt idx="9">
                  <c:v>0.92307692307692313</c:v>
                </c:pt>
                <c:pt idx="10">
                  <c:v>1</c:v>
                </c:pt>
                <c:pt idx="11">
                  <c:v>0.53846153846153844</c:v>
                </c:pt>
              </c:numCache>
            </c:numRef>
          </c:val>
          <c:extLst>
            <c:ext xmlns:c16="http://schemas.microsoft.com/office/drawing/2014/chart" uri="{C3380CC4-5D6E-409C-BE32-E72D297353CC}">
              <c16:uniqueId val="{00000000-903D-431B-853A-C0061288AB5C}"/>
            </c:ext>
          </c:extLst>
        </c:ser>
        <c:dLbls>
          <c:showLegendKey val="0"/>
          <c:showVal val="0"/>
          <c:showCatName val="0"/>
          <c:showSerName val="0"/>
          <c:showPercent val="0"/>
          <c:showBubbleSize val="0"/>
        </c:dLbls>
        <c:gapWidth val="219"/>
        <c:overlap val="-27"/>
        <c:axId val="1368804127"/>
        <c:axId val="1368806623"/>
      </c:barChart>
      <c:catAx>
        <c:axId val="136880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Transport</a:t>
                </a:r>
                <a:r>
                  <a:rPr lang="en-GB" baseline="0"/>
                  <a:t> Route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06623"/>
        <c:crosses val="autoZero"/>
        <c:auto val="1"/>
        <c:lblAlgn val="ctr"/>
        <c:lblOffset val="100"/>
        <c:noMultiLvlLbl val="0"/>
      </c:catAx>
      <c:valAx>
        <c:axId val="1368806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Delay (Days)</a:t>
                </a: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041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[Logistics_Project_Workbook.xlsx]Delay_Category!PivotTable4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a:t>
            </a:r>
            <a:r>
              <a:rPr lang="en-US" baseline="0"/>
              <a:t> </a:t>
            </a:r>
            <a:r>
              <a:rPr lang="en-US"/>
              <a:t>Delay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Delay_Category!$B$3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96-4E59-981B-A511B318EE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96-4E59-981B-A511B318EE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96-4E59-981B-A511B318EE48}"/>
              </c:ext>
            </c:extLst>
          </c:dPt>
          <c:cat>
            <c:strRef>
              <c:f>Delay_Category!$A$4:$A$7</c:f>
              <c:strCache>
                <c:ptCount val="3"/>
                <c:pt idx="0">
                  <c:v>Major Delay</c:v>
                </c:pt>
                <c:pt idx="1">
                  <c:v>Minor Delay</c:v>
                </c:pt>
                <c:pt idx="2">
                  <c:v>On Time</c:v>
                </c:pt>
              </c:strCache>
            </c:strRef>
          </c:cat>
          <c:val>
            <c:numRef>
              <c:f>Delay_Category!$B$4:$B$7</c:f>
              <c:numCache>
                <c:formatCode>General</c:formatCode>
                <c:ptCount val="3"/>
                <c:pt idx="0">
                  <c:v>65</c:v>
                </c:pt>
                <c:pt idx="1">
                  <c:v>40</c:v>
                </c:pt>
                <c:pt idx="2">
                  <c:v>215</c:v>
                </c:pt>
              </c:numCache>
            </c:numRef>
          </c:val>
          <c:extLst>
            <c:ext xmlns:c16="http://schemas.microsoft.com/office/drawing/2014/chart" uri="{C3380CC4-5D6E-409C-BE32-E72D297353CC}">
              <c16:uniqueId val="{00000006-FE96-4E59-981B-A511B318EE4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442912</xdr:colOff>
      <xdr:row>1</xdr:row>
      <xdr:rowOff>47624</xdr:rowOff>
    </xdr:from>
    <xdr:to>
      <xdr:col>8</xdr:col>
      <xdr:colOff>114300</xdr:colOff>
      <xdr:row>11</xdr:row>
      <xdr:rowOff>171449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447674</xdr:colOff>
      <xdr:row>9</xdr:row>
      <xdr:rowOff>104775</xdr:rowOff>
    </xdr:from>
    <xdr:to>
      <xdr:col>3</xdr:col>
      <xdr:colOff>1214436</xdr:colOff>
      <xdr:row>18</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547687</xdr:colOff>
      <xdr:row>2</xdr:row>
      <xdr:rowOff>171450</xdr:rowOff>
    </xdr:from>
    <xdr:to>
      <xdr:col>10</xdr:col>
      <xdr:colOff>242887</xdr:colOff>
      <xdr:row>17</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581024</xdr:colOff>
      <xdr:row>1</xdr:row>
      <xdr:rowOff>0</xdr:rowOff>
    </xdr:from>
    <xdr:to>
      <xdr:col>10</xdr:col>
      <xdr:colOff>23811</xdr:colOff>
      <xdr:row>12</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158750</xdr:colOff>
      <xdr:row>3</xdr:row>
      <xdr:rowOff>32728</xdr:rowOff>
    </xdr:from>
    <xdr:to>
      <xdr:col>7</xdr:col>
      <xdr:colOff>158750</xdr:colOff>
      <xdr:row>16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xdr:colOff>
      <xdr:row>4</xdr:row>
      <xdr:rowOff>32728</xdr:rowOff>
    </xdr:from>
    <xdr:to>
      <xdr:col>20</xdr:col>
      <xdr:colOff>611036</xdr:colOff>
      <xdr:row>17</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190499</xdr:rowOff>
    </xdr:from>
    <xdr:to>
      <xdr:col>10</xdr:col>
      <xdr:colOff>0</xdr:colOff>
      <xdr:row>32</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19</xdr:row>
      <xdr:rowOff>66675</xdr:rowOff>
    </xdr:from>
    <xdr:to>
      <xdr:col>20</xdr:col>
      <xdr:colOff>0</xdr:colOff>
      <xdr:row>30</xdr:row>
      <xdr:rowOff>56649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190500</xdr:colOff>
      <xdr:row>37</xdr:row>
      <xdr:rowOff>0</xdr:rowOff>
    </xdr:from>
    <xdr:to>
      <xdr:col>4</xdr:col>
      <xdr:colOff>190500</xdr:colOff>
      <xdr:row>50</xdr:row>
      <xdr:rowOff>47625</xdr:rowOff>
    </xdr:to>
    <mc:AlternateContent xmlns:mc="http://schemas.openxmlformats.org/markup-compatibility/2006" xmlns:a14="http://schemas.microsoft.com/office/drawing/2010/main">
      <mc:Choice Requires="a14">
        <xdr:graphicFrame macro="">
          <xdr:nvGraphicFramePr>
            <xdr:cNvPr id="8" name="Warehouse"/>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803413" y="7255565"/>
              <a:ext cx="1838739"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37</xdr:row>
      <xdr:rowOff>0</xdr:rowOff>
    </xdr:from>
    <xdr:to>
      <xdr:col>12</xdr:col>
      <xdr:colOff>0</xdr:colOff>
      <xdr:row>50</xdr:row>
      <xdr:rowOff>47625</xdr:rowOff>
    </xdr:to>
    <mc:AlternateContent xmlns:mc="http://schemas.openxmlformats.org/markup-compatibility/2006" xmlns:a14="http://schemas.microsoft.com/office/drawing/2010/main">
      <mc:Choice Requires="a14">
        <xdr:graphicFrame macro="">
          <xdr:nvGraphicFramePr>
            <xdr:cNvPr id="10" name="Delivery_Status"/>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5458239" y="7255565"/>
              <a:ext cx="1838739"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37</xdr:row>
      <xdr:rowOff>0</xdr:rowOff>
    </xdr:from>
    <xdr:to>
      <xdr:col>16</xdr:col>
      <xdr:colOff>0</xdr:colOff>
      <xdr:row>50</xdr:row>
      <xdr:rowOff>47625</xdr:rowOff>
    </xdr:to>
    <mc:AlternateContent xmlns:mc="http://schemas.openxmlformats.org/markup-compatibility/2006" xmlns:a14="http://schemas.microsoft.com/office/drawing/2010/main">
      <mc:Choice Requires="a14">
        <xdr:graphicFrame macro="">
          <xdr:nvGraphicFramePr>
            <xdr:cNvPr id="11" name="Delay_Category"/>
            <xdr:cNvGraphicFramePr/>
          </xdr:nvGraphicFramePr>
          <xdr:xfrm>
            <a:off x="0" y="0"/>
            <a:ext cx="0" cy="0"/>
          </xdr:xfrm>
          <a:graphic>
            <a:graphicData uri="http://schemas.microsoft.com/office/drawing/2010/slicer">
              <sle:slicer xmlns:sle="http://schemas.microsoft.com/office/drawing/2010/slicer" name="Delay_Category"/>
            </a:graphicData>
          </a:graphic>
        </xdr:graphicFrame>
      </mc:Choice>
      <mc:Fallback xmlns="">
        <xdr:sp macro="" textlink="">
          <xdr:nvSpPr>
            <xdr:cNvPr id="0" name=""/>
            <xdr:cNvSpPr>
              <a:spLocks noTextEdit="1"/>
            </xdr:cNvSpPr>
          </xdr:nvSpPr>
          <xdr:spPr>
            <a:xfrm>
              <a:off x="7909891" y="7255565"/>
              <a:ext cx="1838739"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142875</xdr:colOff>
      <xdr:row>37</xdr:row>
      <xdr:rowOff>0</xdr:rowOff>
    </xdr:from>
    <xdr:to>
      <xdr:col>8</xdr:col>
      <xdr:colOff>209550</xdr:colOff>
      <xdr:row>50</xdr:row>
      <xdr:rowOff>47625</xdr:rowOff>
    </xdr:to>
    <mc:AlternateContent xmlns:mc="http://schemas.openxmlformats.org/markup-compatibility/2006" xmlns:a14="http://schemas.microsoft.com/office/drawing/2010/main">
      <mc:Choice Requires="a14">
        <xdr:graphicFrame macro="">
          <xdr:nvGraphicFramePr>
            <xdr:cNvPr id="12" name="Carrier_ID"/>
            <xdr:cNvGraphicFramePr/>
          </xdr:nvGraphicFramePr>
          <xdr:xfrm>
            <a:off x="0" y="0"/>
            <a:ext cx="0" cy="0"/>
          </xdr:xfrm>
          <a:graphic>
            <a:graphicData uri="http://schemas.microsoft.com/office/drawing/2010/slicer">
              <sle:slicer xmlns:sle="http://schemas.microsoft.com/office/drawing/2010/slicer" name="Carrier_ID"/>
            </a:graphicData>
          </a:graphic>
        </xdr:graphicFrame>
      </mc:Choice>
      <mc:Fallback xmlns="">
        <xdr:sp macro="" textlink="">
          <xdr:nvSpPr>
            <xdr:cNvPr id="0" name=""/>
            <xdr:cNvSpPr>
              <a:spLocks noTextEdit="1"/>
            </xdr:cNvSpPr>
          </xdr:nvSpPr>
          <xdr:spPr>
            <a:xfrm>
              <a:off x="3207440" y="7255565"/>
              <a:ext cx="184743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vid" refreshedDate="46057.487624884256" createdVersion="6" refreshedVersion="6" minRefreshableVersion="3" recordCount="320">
  <cacheSource type="worksheet">
    <worksheetSource name="Table1"/>
  </cacheSource>
  <cacheFields count="11">
    <cacheField name="Shipment_ID" numFmtId="0">
      <sharedItems count="320">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haredItems>
    </cacheField>
    <cacheField name="Order_ID" numFmtId="0">
      <sharedItems/>
    </cacheField>
    <cacheField name="Warehouse_ID" numFmtId="0">
      <sharedItems count="5">
        <s v="W003"/>
        <s v="W002"/>
        <s v="W005"/>
        <s v="W004"/>
        <s v="W001"/>
      </sharedItems>
    </cacheField>
    <cacheField name="Carrier_ID" numFmtId="0">
      <sharedItems count="6">
        <s v="CA005"/>
        <s v="CA004"/>
        <s v="CA003"/>
        <s v="CA006"/>
        <s v="CA001"/>
        <s v="CA002"/>
      </sharedItems>
    </cacheField>
    <cacheField name="Route_ID" numFmtId="0">
      <sharedItems count="12">
        <s v="R011"/>
        <s v="R003"/>
        <s v="R009"/>
        <s v="R012"/>
        <s v="R010"/>
        <s v="R004"/>
        <s v="R008"/>
        <s v="R002"/>
        <s v="R007"/>
        <s v="R001"/>
        <s v="R005"/>
        <s v="R006"/>
      </sharedItems>
    </cacheField>
    <cacheField name="Dispatch_Date" numFmtId="0">
      <sharedItems containsSemiMixedTypes="0" containsString="0" containsNumber="1" containsInteger="1" minValue="45779" maxValue="46054"/>
    </cacheField>
    <cacheField name="Planned_Delivery_Date" numFmtId="0">
      <sharedItems containsSemiMixedTypes="0" containsString="0" containsNumber="1" containsInteger="1" minValue="45782" maxValue="46058"/>
    </cacheField>
    <cacheField name="Actual_Delivery_Date" numFmtId="0">
      <sharedItems containsSemiMixedTypes="0" containsString="0" containsNumber="1" containsInteger="1" minValue="45782" maxValue="46061"/>
    </cacheField>
    <cacheField name="Delay_Days" numFmtId="0">
      <sharedItems containsSemiMixedTypes="0" containsString="0" containsNumber="1" containsInteger="1" minValue="0" maxValue="5" count="6">
        <n v="2"/>
        <n v="0"/>
        <n v="4"/>
        <n v="5"/>
        <n v="3"/>
        <n v="1"/>
      </sharedItems>
    </cacheField>
    <cacheField name="Delivery_Status" numFmtId="0">
      <sharedItems count="2">
        <s v="Late"/>
        <s v="On Time"/>
      </sharedItems>
    </cacheField>
    <cacheField name="Delay_Category" numFmtId="0">
      <sharedItems count="3">
        <s v="Minor Delay"/>
        <s v="On Time"/>
        <s v="Major Dela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20">
  <r>
    <x v="0"/>
    <s v="O0153"/>
    <x v="0"/>
    <x v="0"/>
    <x v="0"/>
    <n v="45893"/>
    <n v="45896"/>
    <n v="45898"/>
    <x v="0"/>
    <x v="0"/>
    <x v="0"/>
  </r>
  <r>
    <x v="1"/>
    <s v="O0218"/>
    <x v="1"/>
    <x v="1"/>
    <x v="1"/>
    <n v="45976"/>
    <n v="45980"/>
    <n v="45980"/>
    <x v="1"/>
    <x v="1"/>
    <x v="1"/>
  </r>
  <r>
    <x v="2"/>
    <s v="O0038"/>
    <x v="1"/>
    <x v="2"/>
    <x v="2"/>
    <n v="45887"/>
    <n v="45891"/>
    <n v="45895"/>
    <x v="2"/>
    <x v="0"/>
    <x v="2"/>
  </r>
  <r>
    <x v="3"/>
    <s v="O0232"/>
    <x v="1"/>
    <x v="1"/>
    <x v="1"/>
    <n v="45809"/>
    <n v="45813"/>
    <n v="45813"/>
    <x v="1"/>
    <x v="1"/>
    <x v="1"/>
  </r>
  <r>
    <x v="4"/>
    <s v="O0021"/>
    <x v="2"/>
    <x v="0"/>
    <x v="3"/>
    <n v="45855"/>
    <n v="45857"/>
    <n v="45857"/>
    <x v="1"/>
    <x v="1"/>
    <x v="1"/>
  </r>
  <r>
    <x v="5"/>
    <s v="O0184"/>
    <x v="1"/>
    <x v="3"/>
    <x v="1"/>
    <n v="45819"/>
    <n v="45823"/>
    <n v="45823"/>
    <x v="1"/>
    <x v="1"/>
    <x v="1"/>
  </r>
  <r>
    <x v="6"/>
    <s v="O0214"/>
    <x v="3"/>
    <x v="2"/>
    <x v="4"/>
    <n v="45916"/>
    <n v="45919"/>
    <n v="45919"/>
    <x v="1"/>
    <x v="1"/>
    <x v="1"/>
  </r>
  <r>
    <x v="7"/>
    <s v="O0199"/>
    <x v="4"/>
    <x v="0"/>
    <x v="2"/>
    <n v="45914"/>
    <n v="45918"/>
    <n v="45918"/>
    <x v="1"/>
    <x v="1"/>
    <x v="1"/>
  </r>
  <r>
    <x v="8"/>
    <s v="O0199"/>
    <x v="1"/>
    <x v="4"/>
    <x v="3"/>
    <n v="45913"/>
    <n v="45915"/>
    <n v="45915"/>
    <x v="1"/>
    <x v="1"/>
    <x v="1"/>
  </r>
  <r>
    <x v="9"/>
    <s v="O0230"/>
    <x v="1"/>
    <x v="4"/>
    <x v="4"/>
    <n v="45909"/>
    <n v="45912"/>
    <n v="45917"/>
    <x v="3"/>
    <x v="0"/>
    <x v="2"/>
  </r>
  <r>
    <x v="10"/>
    <s v="O0129"/>
    <x v="2"/>
    <x v="1"/>
    <x v="2"/>
    <n v="45889"/>
    <n v="45893"/>
    <n v="45893"/>
    <x v="1"/>
    <x v="1"/>
    <x v="1"/>
  </r>
  <r>
    <x v="11"/>
    <s v="O0094"/>
    <x v="0"/>
    <x v="2"/>
    <x v="5"/>
    <n v="45901"/>
    <n v="45904"/>
    <n v="45909"/>
    <x v="3"/>
    <x v="0"/>
    <x v="2"/>
  </r>
  <r>
    <x v="12"/>
    <s v="O0136"/>
    <x v="1"/>
    <x v="4"/>
    <x v="6"/>
    <n v="45884"/>
    <n v="45888"/>
    <n v="45888"/>
    <x v="1"/>
    <x v="1"/>
    <x v="1"/>
  </r>
  <r>
    <x v="13"/>
    <s v="O0158"/>
    <x v="1"/>
    <x v="0"/>
    <x v="2"/>
    <n v="45896"/>
    <n v="45900"/>
    <n v="45903"/>
    <x v="4"/>
    <x v="0"/>
    <x v="2"/>
  </r>
  <r>
    <x v="14"/>
    <s v="O0052"/>
    <x v="3"/>
    <x v="0"/>
    <x v="7"/>
    <n v="45835"/>
    <n v="45839"/>
    <n v="45843"/>
    <x v="2"/>
    <x v="0"/>
    <x v="2"/>
  </r>
  <r>
    <x v="15"/>
    <s v="O0001"/>
    <x v="0"/>
    <x v="0"/>
    <x v="4"/>
    <n v="45831"/>
    <n v="45834"/>
    <n v="45835"/>
    <x v="5"/>
    <x v="0"/>
    <x v="0"/>
  </r>
  <r>
    <x v="16"/>
    <s v="O0221"/>
    <x v="3"/>
    <x v="1"/>
    <x v="4"/>
    <n v="45941"/>
    <n v="45944"/>
    <n v="45944"/>
    <x v="1"/>
    <x v="1"/>
    <x v="1"/>
  </r>
  <r>
    <x v="17"/>
    <s v="O0134"/>
    <x v="3"/>
    <x v="4"/>
    <x v="5"/>
    <n v="45800"/>
    <n v="45803"/>
    <n v="45806"/>
    <x v="4"/>
    <x v="0"/>
    <x v="2"/>
  </r>
  <r>
    <x v="18"/>
    <s v="O0212"/>
    <x v="1"/>
    <x v="1"/>
    <x v="8"/>
    <n v="45979"/>
    <n v="45981"/>
    <n v="45981"/>
    <x v="1"/>
    <x v="1"/>
    <x v="1"/>
  </r>
  <r>
    <x v="19"/>
    <s v="O0168"/>
    <x v="4"/>
    <x v="5"/>
    <x v="6"/>
    <n v="45893"/>
    <n v="45897"/>
    <n v="45897"/>
    <x v="1"/>
    <x v="1"/>
    <x v="1"/>
  </r>
  <r>
    <x v="20"/>
    <s v="O0189"/>
    <x v="4"/>
    <x v="1"/>
    <x v="0"/>
    <n v="45914"/>
    <n v="45917"/>
    <n v="45917"/>
    <x v="1"/>
    <x v="1"/>
    <x v="1"/>
  </r>
  <r>
    <x v="21"/>
    <s v="O0116"/>
    <x v="0"/>
    <x v="2"/>
    <x v="8"/>
    <n v="45946"/>
    <n v="45948"/>
    <n v="45948"/>
    <x v="1"/>
    <x v="1"/>
    <x v="1"/>
  </r>
  <r>
    <x v="22"/>
    <s v="O0012"/>
    <x v="1"/>
    <x v="0"/>
    <x v="9"/>
    <n v="45971"/>
    <n v="45973"/>
    <n v="45973"/>
    <x v="1"/>
    <x v="1"/>
    <x v="1"/>
  </r>
  <r>
    <x v="23"/>
    <s v="O0214"/>
    <x v="2"/>
    <x v="1"/>
    <x v="8"/>
    <n v="45918"/>
    <n v="45920"/>
    <n v="45920"/>
    <x v="1"/>
    <x v="1"/>
    <x v="1"/>
  </r>
  <r>
    <x v="24"/>
    <s v="O0148"/>
    <x v="1"/>
    <x v="0"/>
    <x v="10"/>
    <n v="46005"/>
    <n v="46008"/>
    <n v="46012"/>
    <x v="2"/>
    <x v="0"/>
    <x v="2"/>
  </r>
  <r>
    <x v="25"/>
    <s v="O0242"/>
    <x v="4"/>
    <x v="1"/>
    <x v="6"/>
    <n v="45909"/>
    <n v="45913"/>
    <n v="45913"/>
    <x v="1"/>
    <x v="1"/>
    <x v="1"/>
  </r>
  <r>
    <x v="26"/>
    <s v="O0137"/>
    <x v="3"/>
    <x v="2"/>
    <x v="7"/>
    <n v="45904"/>
    <n v="45908"/>
    <n v="45908"/>
    <x v="1"/>
    <x v="1"/>
    <x v="1"/>
  </r>
  <r>
    <x v="27"/>
    <s v="O0115"/>
    <x v="1"/>
    <x v="0"/>
    <x v="6"/>
    <n v="45876"/>
    <n v="45880"/>
    <n v="45880"/>
    <x v="1"/>
    <x v="1"/>
    <x v="1"/>
  </r>
  <r>
    <x v="28"/>
    <s v="O0011"/>
    <x v="2"/>
    <x v="1"/>
    <x v="1"/>
    <n v="46010"/>
    <n v="46014"/>
    <n v="46014"/>
    <x v="1"/>
    <x v="1"/>
    <x v="1"/>
  </r>
  <r>
    <x v="29"/>
    <s v="O0200"/>
    <x v="1"/>
    <x v="4"/>
    <x v="10"/>
    <n v="46017"/>
    <n v="46020"/>
    <n v="46024"/>
    <x v="2"/>
    <x v="0"/>
    <x v="2"/>
  </r>
  <r>
    <x v="30"/>
    <s v="O0138"/>
    <x v="0"/>
    <x v="1"/>
    <x v="7"/>
    <n v="45942"/>
    <n v="45946"/>
    <n v="45946"/>
    <x v="1"/>
    <x v="1"/>
    <x v="1"/>
  </r>
  <r>
    <x v="31"/>
    <s v="O0035"/>
    <x v="1"/>
    <x v="4"/>
    <x v="5"/>
    <n v="46040"/>
    <n v="46043"/>
    <n v="46044"/>
    <x v="5"/>
    <x v="0"/>
    <x v="0"/>
  </r>
  <r>
    <x v="32"/>
    <s v="O0129"/>
    <x v="4"/>
    <x v="2"/>
    <x v="3"/>
    <n v="45889"/>
    <n v="45891"/>
    <n v="45891"/>
    <x v="1"/>
    <x v="1"/>
    <x v="1"/>
  </r>
  <r>
    <x v="33"/>
    <s v="O0112"/>
    <x v="1"/>
    <x v="1"/>
    <x v="5"/>
    <n v="45834"/>
    <n v="45837"/>
    <n v="45841"/>
    <x v="2"/>
    <x v="0"/>
    <x v="2"/>
  </r>
  <r>
    <x v="34"/>
    <s v="O0211"/>
    <x v="2"/>
    <x v="3"/>
    <x v="11"/>
    <n v="46052"/>
    <n v="46056"/>
    <n v="46056"/>
    <x v="1"/>
    <x v="1"/>
    <x v="1"/>
  </r>
  <r>
    <x v="35"/>
    <s v="O0156"/>
    <x v="0"/>
    <x v="1"/>
    <x v="5"/>
    <n v="46003"/>
    <n v="46006"/>
    <n v="46006"/>
    <x v="1"/>
    <x v="1"/>
    <x v="1"/>
  </r>
  <r>
    <x v="36"/>
    <s v="O0016"/>
    <x v="0"/>
    <x v="2"/>
    <x v="3"/>
    <n v="46050"/>
    <n v="46052"/>
    <n v="46052"/>
    <x v="1"/>
    <x v="1"/>
    <x v="1"/>
  </r>
  <r>
    <x v="37"/>
    <s v="O0051"/>
    <x v="3"/>
    <x v="3"/>
    <x v="10"/>
    <n v="46015"/>
    <n v="46018"/>
    <n v="46018"/>
    <x v="1"/>
    <x v="1"/>
    <x v="1"/>
  </r>
  <r>
    <x v="38"/>
    <s v="O0213"/>
    <x v="3"/>
    <x v="3"/>
    <x v="11"/>
    <n v="45883"/>
    <n v="45887"/>
    <n v="45887"/>
    <x v="1"/>
    <x v="1"/>
    <x v="1"/>
  </r>
  <r>
    <x v="39"/>
    <s v="O0152"/>
    <x v="3"/>
    <x v="4"/>
    <x v="4"/>
    <n v="45950"/>
    <n v="45953"/>
    <n v="45953"/>
    <x v="1"/>
    <x v="1"/>
    <x v="1"/>
  </r>
  <r>
    <x v="40"/>
    <s v="O0119"/>
    <x v="1"/>
    <x v="1"/>
    <x v="2"/>
    <n v="45817"/>
    <n v="45821"/>
    <n v="45821"/>
    <x v="1"/>
    <x v="1"/>
    <x v="1"/>
  </r>
  <r>
    <x v="41"/>
    <s v="O0083"/>
    <x v="2"/>
    <x v="1"/>
    <x v="4"/>
    <n v="45954"/>
    <n v="45957"/>
    <n v="45957"/>
    <x v="1"/>
    <x v="1"/>
    <x v="1"/>
  </r>
  <r>
    <x v="42"/>
    <s v="O0213"/>
    <x v="0"/>
    <x v="0"/>
    <x v="5"/>
    <n v="45882"/>
    <n v="45885"/>
    <n v="45889"/>
    <x v="2"/>
    <x v="0"/>
    <x v="2"/>
  </r>
  <r>
    <x v="43"/>
    <s v="O0036"/>
    <x v="2"/>
    <x v="4"/>
    <x v="4"/>
    <n v="45807"/>
    <n v="45810"/>
    <n v="45810"/>
    <x v="1"/>
    <x v="1"/>
    <x v="1"/>
  </r>
  <r>
    <x v="44"/>
    <s v="O0003"/>
    <x v="0"/>
    <x v="3"/>
    <x v="11"/>
    <n v="46031"/>
    <n v="46035"/>
    <n v="46035"/>
    <x v="1"/>
    <x v="1"/>
    <x v="1"/>
  </r>
  <r>
    <x v="45"/>
    <s v="O0121"/>
    <x v="3"/>
    <x v="1"/>
    <x v="4"/>
    <n v="45909"/>
    <n v="45912"/>
    <n v="45912"/>
    <x v="1"/>
    <x v="1"/>
    <x v="1"/>
  </r>
  <r>
    <x v="46"/>
    <s v="O0108"/>
    <x v="4"/>
    <x v="3"/>
    <x v="2"/>
    <n v="45857"/>
    <n v="45861"/>
    <n v="45861"/>
    <x v="1"/>
    <x v="1"/>
    <x v="1"/>
  </r>
  <r>
    <x v="47"/>
    <s v="O0169"/>
    <x v="1"/>
    <x v="0"/>
    <x v="1"/>
    <n v="46039"/>
    <n v="46043"/>
    <n v="46047"/>
    <x v="2"/>
    <x v="0"/>
    <x v="2"/>
  </r>
  <r>
    <x v="48"/>
    <s v="O0234"/>
    <x v="1"/>
    <x v="3"/>
    <x v="9"/>
    <n v="45946"/>
    <n v="45948"/>
    <n v="45950"/>
    <x v="0"/>
    <x v="0"/>
    <x v="0"/>
  </r>
  <r>
    <x v="49"/>
    <s v="O0102"/>
    <x v="4"/>
    <x v="1"/>
    <x v="6"/>
    <n v="46010"/>
    <n v="46014"/>
    <n v="46014"/>
    <x v="1"/>
    <x v="1"/>
    <x v="1"/>
  </r>
  <r>
    <x v="50"/>
    <s v="O0108"/>
    <x v="1"/>
    <x v="3"/>
    <x v="10"/>
    <n v="45857"/>
    <n v="45860"/>
    <n v="45861"/>
    <x v="5"/>
    <x v="0"/>
    <x v="0"/>
  </r>
  <r>
    <x v="51"/>
    <s v="O0214"/>
    <x v="1"/>
    <x v="2"/>
    <x v="8"/>
    <n v="45917"/>
    <n v="45919"/>
    <n v="45919"/>
    <x v="1"/>
    <x v="1"/>
    <x v="1"/>
  </r>
  <r>
    <x v="52"/>
    <s v="O0100"/>
    <x v="3"/>
    <x v="3"/>
    <x v="9"/>
    <n v="45873"/>
    <n v="45875"/>
    <n v="45875"/>
    <x v="1"/>
    <x v="1"/>
    <x v="1"/>
  </r>
  <r>
    <x v="53"/>
    <s v="O0112"/>
    <x v="4"/>
    <x v="1"/>
    <x v="8"/>
    <n v="45833"/>
    <n v="45835"/>
    <n v="45838"/>
    <x v="4"/>
    <x v="0"/>
    <x v="2"/>
  </r>
  <r>
    <x v="54"/>
    <s v="O0094"/>
    <x v="3"/>
    <x v="0"/>
    <x v="2"/>
    <n v="45902"/>
    <n v="45906"/>
    <n v="45906"/>
    <x v="1"/>
    <x v="1"/>
    <x v="1"/>
  </r>
  <r>
    <x v="55"/>
    <s v="O0179"/>
    <x v="3"/>
    <x v="5"/>
    <x v="3"/>
    <n v="45907"/>
    <n v="45909"/>
    <n v="45909"/>
    <x v="1"/>
    <x v="1"/>
    <x v="1"/>
  </r>
  <r>
    <x v="56"/>
    <s v="O0106"/>
    <x v="2"/>
    <x v="4"/>
    <x v="1"/>
    <n v="45958"/>
    <n v="45962"/>
    <n v="45962"/>
    <x v="1"/>
    <x v="1"/>
    <x v="1"/>
  </r>
  <r>
    <x v="57"/>
    <s v="O0169"/>
    <x v="3"/>
    <x v="3"/>
    <x v="10"/>
    <n v="46040"/>
    <n v="46043"/>
    <n v="46043"/>
    <x v="1"/>
    <x v="1"/>
    <x v="1"/>
  </r>
  <r>
    <x v="58"/>
    <s v="O0150"/>
    <x v="3"/>
    <x v="4"/>
    <x v="7"/>
    <n v="45787"/>
    <n v="45791"/>
    <n v="45791"/>
    <x v="1"/>
    <x v="1"/>
    <x v="1"/>
  </r>
  <r>
    <x v="59"/>
    <s v="O0036"/>
    <x v="2"/>
    <x v="3"/>
    <x v="9"/>
    <n v="45808"/>
    <n v="45810"/>
    <n v="45810"/>
    <x v="1"/>
    <x v="1"/>
    <x v="1"/>
  </r>
  <r>
    <x v="60"/>
    <s v="O0139"/>
    <x v="2"/>
    <x v="3"/>
    <x v="11"/>
    <n v="45961"/>
    <n v="45965"/>
    <n v="45967"/>
    <x v="0"/>
    <x v="0"/>
    <x v="0"/>
  </r>
  <r>
    <x v="61"/>
    <s v="O0175"/>
    <x v="4"/>
    <x v="5"/>
    <x v="0"/>
    <n v="45789"/>
    <n v="45792"/>
    <n v="45792"/>
    <x v="1"/>
    <x v="1"/>
    <x v="1"/>
  </r>
  <r>
    <x v="62"/>
    <s v="O0153"/>
    <x v="2"/>
    <x v="2"/>
    <x v="6"/>
    <n v="45895"/>
    <n v="45899"/>
    <n v="45901"/>
    <x v="0"/>
    <x v="0"/>
    <x v="0"/>
  </r>
  <r>
    <x v="63"/>
    <s v="O0107"/>
    <x v="2"/>
    <x v="2"/>
    <x v="11"/>
    <n v="45863"/>
    <n v="45867"/>
    <n v="45872"/>
    <x v="3"/>
    <x v="0"/>
    <x v="2"/>
  </r>
  <r>
    <x v="64"/>
    <s v="O0195"/>
    <x v="0"/>
    <x v="0"/>
    <x v="0"/>
    <n v="45857"/>
    <n v="45860"/>
    <n v="45860"/>
    <x v="1"/>
    <x v="1"/>
    <x v="1"/>
  </r>
  <r>
    <x v="65"/>
    <s v="O0241"/>
    <x v="1"/>
    <x v="4"/>
    <x v="8"/>
    <n v="45812"/>
    <n v="45814"/>
    <n v="45814"/>
    <x v="1"/>
    <x v="1"/>
    <x v="1"/>
  </r>
  <r>
    <x v="66"/>
    <s v="O0055"/>
    <x v="0"/>
    <x v="0"/>
    <x v="1"/>
    <n v="45972"/>
    <n v="45976"/>
    <n v="45979"/>
    <x v="4"/>
    <x v="0"/>
    <x v="2"/>
  </r>
  <r>
    <x v="67"/>
    <s v="O0029"/>
    <x v="1"/>
    <x v="3"/>
    <x v="10"/>
    <n v="45894"/>
    <n v="45897"/>
    <n v="45897"/>
    <x v="1"/>
    <x v="1"/>
    <x v="1"/>
  </r>
  <r>
    <x v="68"/>
    <s v="O0087"/>
    <x v="4"/>
    <x v="2"/>
    <x v="1"/>
    <n v="45881"/>
    <n v="45885"/>
    <n v="45885"/>
    <x v="1"/>
    <x v="1"/>
    <x v="1"/>
  </r>
  <r>
    <x v="69"/>
    <s v="O0213"/>
    <x v="2"/>
    <x v="1"/>
    <x v="5"/>
    <n v="45882"/>
    <n v="45885"/>
    <n v="45885"/>
    <x v="1"/>
    <x v="1"/>
    <x v="1"/>
  </r>
  <r>
    <x v="70"/>
    <s v="O0146"/>
    <x v="2"/>
    <x v="3"/>
    <x v="3"/>
    <n v="45878"/>
    <n v="45880"/>
    <n v="45880"/>
    <x v="1"/>
    <x v="1"/>
    <x v="1"/>
  </r>
  <r>
    <x v="71"/>
    <s v="O0250"/>
    <x v="1"/>
    <x v="0"/>
    <x v="7"/>
    <n v="45795"/>
    <n v="45799"/>
    <n v="45799"/>
    <x v="1"/>
    <x v="1"/>
    <x v="1"/>
  </r>
  <r>
    <x v="72"/>
    <s v="O0102"/>
    <x v="1"/>
    <x v="0"/>
    <x v="8"/>
    <n v="46011"/>
    <n v="46013"/>
    <n v="46018"/>
    <x v="3"/>
    <x v="0"/>
    <x v="2"/>
  </r>
  <r>
    <x v="73"/>
    <s v="O0058"/>
    <x v="1"/>
    <x v="5"/>
    <x v="5"/>
    <n v="46041"/>
    <n v="46044"/>
    <n v="46045"/>
    <x v="5"/>
    <x v="0"/>
    <x v="0"/>
  </r>
  <r>
    <x v="74"/>
    <s v="O0188"/>
    <x v="2"/>
    <x v="0"/>
    <x v="5"/>
    <n v="45994"/>
    <n v="45997"/>
    <n v="45998"/>
    <x v="5"/>
    <x v="0"/>
    <x v="0"/>
  </r>
  <r>
    <x v="75"/>
    <s v="O0212"/>
    <x v="0"/>
    <x v="1"/>
    <x v="7"/>
    <n v="45978"/>
    <n v="45982"/>
    <n v="45986"/>
    <x v="2"/>
    <x v="0"/>
    <x v="2"/>
  </r>
  <r>
    <x v="76"/>
    <s v="O0072"/>
    <x v="0"/>
    <x v="3"/>
    <x v="3"/>
    <n v="46001"/>
    <n v="46003"/>
    <n v="46003"/>
    <x v="1"/>
    <x v="1"/>
    <x v="1"/>
  </r>
  <r>
    <x v="77"/>
    <s v="O0010"/>
    <x v="0"/>
    <x v="1"/>
    <x v="3"/>
    <n v="45940"/>
    <n v="45942"/>
    <n v="45942"/>
    <x v="1"/>
    <x v="1"/>
    <x v="1"/>
  </r>
  <r>
    <x v="78"/>
    <s v="O0069"/>
    <x v="3"/>
    <x v="3"/>
    <x v="7"/>
    <n v="45819"/>
    <n v="45823"/>
    <n v="45825"/>
    <x v="0"/>
    <x v="0"/>
    <x v="0"/>
  </r>
  <r>
    <x v="79"/>
    <s v="O0096"/>
    <x v="1"/>
    <x v="0"/>
    <x v="4"/>
    <n v="45867"/>
    <n v="45870"/>
    <n v="45872"/>
    <x v="0"/>
    <x v="0"/>
    <x v="0"/>
  </r>
  <r>
    <x v="80"/>
    <s v="O0083"/>
    <x v="0"/>
    <x v="1"/>
    <x v="11"/>
    <n v="45953"/>
    <n v="45957"/>
    <n v="45959"/>
    <x v="0"/>
    <x v="0"/>
    <x v="0"/>
  </r>
  <r>
    <x v="81"/>
    <s v="O0101"/>
    <x v="4"/>
    <x v="5"/>
    <x v="0"/>
    <n v="45900"/>
    <n v="45903"/>
    <n v="45903"/>
    <x v="1"/>
    <x v="1"/>
    <x v="1"/>
  </r>
  <r>
    <x v="82"/>
    <s v="O0244"/>
    <x v="0"/>
    <x v="4"/>
    <x v="8"/>
    <n v="45909"/>
    <n v="45911"/>
    <n v="45916"/>
    <x v="3"/>
    <x v="0"/>
    <x v="2"/>
  </r>
  <r>
    <x v="83"/>
    <s v="O0167"/>
    <x v="1"/>
    <x v="2"/>
    <x v="8"/>
    <n v="45905"/>
    <n v="45907"/>
    <n v="45907"/>
    <x v="1"/>
    <x v="1"/>
    <x v="1"/>
  </r>
  <r>
    <x v="84"/>
    <s v="O0121"/>
    <x v="0"/>
    <x v="3"/>
    <x v="0"/>
    <n v="45910"/>
    <n v="45913"/>
    <n v="45913"/>
    <x v="1"/>
    <x v="1"/>
    <x v="1"/>
  </r>
  <r>
    <x v="85"/>
    <s v="O0103"/>
    <x v="2"/>
    <x v="1"/>
    <x v="11"/>
    <n v="45909"/>
    <n v="45913"/>
    <n v="45913"/>
    <x v="1"/>
    <x v="1"/>
    <x v="1"/>
  </r>
  <r>
    <x v="86"/>
    <s v="O0103"/>
    <x v="3"/>
    <x v="3"/>
    <x v="9"/>
    <n v="45907"/>
    <n v="45909"/>
    <n v="45909"/>
    <x v="1"/>
    <x v="1"/>
    <x v="1"/>
  </r>
  <r>
    <x v="87"/>
    <s v="O0013"/>
    <x v="2"/>
    <x v="5"/>
    <x v="8"/>
    <n v="45852"/>
    <n v="45854"/>
    <n v="45854"/>
    <x v="1"/>
    <x v="1"/>
    <x v="1"/>
  </r>
  <r>
    <x v="88"/>
    <s v="O0050"/>
    <x v="2"/>
    <x v="2"/>
    <x v="7"/>
    <n v="46006"/>
    <n v="46010"/>
    <n v="46010"/>
    <x v="1"/>
    <x v="1"/>
    <x v="1"/>
  </r>
  <r>
    <x v="89"/>
    <s v="O0204"/>
    <x v="2"/>
    <x v="0"/>
    <x v="5"/>
    <n v="46003"/>
    <n v="46006"/>
    <n v="46010"/>
    <x v="2"/>
    <x v="0"/>
    <x v="2"/>
  </r>
  <r>
    <x v="90"/>
    <s v="O0012"/>
    <x v="0"/>
    <x v="0"/>
    <x v="0"/>
    <n v="45971"/>
    <n v="45974"/>
    <n v="45974"/>
    <x v="1"/>
    <x v="1"/>
    <x v="1"/>
  </r>
  <r>
    <x v="91"/>
    <s v="O0184"/>
    <x v="3"/>
    <x v="1"/>
    <x v="6"/>
    <n v="45818"/>
    <n v="45822"/>
    <n v="45824"/>
    <x v="0"/>
    <x v="0"/>
    <x v="0"/>
  </r>
  <r>
    <x v="92"/>
    <s v="O0182"/>
    <x v="1"/>
    <x v="2"/>
    <x v="4"/>
    <n v="46002"/>
    <n v="46005"/>
    <n v="46005"/>
    <x v="1"/>
    <x v="1"/>
    <x v="1"/>
  </r>
  <r>
    <x v="93"/>
    <s v="O0221"/>
    <x v="2"/>
    <x v="4"/>
    <x v="8"/>
    <n v="45943"/>
    <n v="45945"/>
    <n v="45945"/>
    <x v="1"/>
    <x v="1"/>
    <x v="1"/>
  </r>
  <r>
    <x v="94"/>
    <s v="O0022"/>
    <x v="1"/>
    <x v="5"/>
    <x v="4"/>
    <n v="45791"/>
    <n v="45794"/>
    <n v="45794"/>
    <x v="1"/>
    <x v="1"/>
    <x v="1"/>
  </r>
  <r>
    <x v="95"/>
    <s v="O0231"/>
    <x v="1"/>
    <x v="0"/>
    <x v="5"/>
    <n v="45841"/>
    <n v="45844"/>
    <n v="45845"/>
    <x v="5"/>
    <x v="0"/>
    <x v="0"/>
  </r>
  <r>
    <x v="96"/>
    <s v="O0161"/>
    <x v="1"/>
    <x v="4"/>
    <x v="2"/>
    <n v="45957"/>
    <n v="45961"/>
    <n v="45961"/>
    <x v="1"/>
    <x v="1"/>
    <x v="1"/>
  </r>
  <r>
    <x v="97"/>
    <s v="O0147"/>
    <x v="3"/>
    <x v="5"/>
    <x v="5"/>
    <n v="45990"/>
    <n v="45993"/>
    <n v="45996"/>
    <x v="4"/>
    <x v="0"/>
    <x v="2"/>
  </r>
  <r>
    <x v="98"/>
    <s v="O0106"/>
    <x v="4"/>
    <x v="0"/>
    <x v="3"/>
    <n v="45960"/>
    <n v="45962"/>
    <n v="45963"/>
    <x v="5"/>
    <x v="0"/>
    <x v="0"/>
  </r>
  <r>
    <x v="99"/>
    <s v="O0241"/>
    <x v="4"/>
    <x v="4"/>
    <x v="8"/>
    <n v="45813"/>
    <n v="45815"/>
    <n v="45815"/>
    <x v="1"/>
    <x v="1"/>
    <x v="1"/>
  </r>
  <r>
    <x v="100"/>
    <s v="O0032"/>
    <x v="1"/>
    <x v="1"/>
    <x v="11"/>
    <n v="46037"/>
    <n v="46041"/>
    <n v="46041"/>
    <x v="1"/>
    <x v="1"/>
    <x v="1"/>
  </r>
  <r>
    <x v="101"/>
    <s v="O0052"/>
    <x v="0"/>
    <x v="5"/>
    <x v="10"/>
    <n v="45834"/>
    <n v="45837"/>
    <n v="45837"/>
    <x v="1"/>
    <x v="1"/>
    <x v="1"/>
  </r>
  <r>
    <x v="102"/>
    <s v="O0136"/>
    <x v="1"/>
    <x v="2"/>
    <x v="7"/>
    <n v="45883"/>
    <n v="45887"/>
    <n v="45887"/>
    <x v="1"/>
    <x v="1"/>
    <x v="1"/>
  </r>
  <r>
    <x v="103"/>
    <s v="O0095"/>
    <x v="4"/>
    <x v="5"/>
    <x v="7"/>
    <n v="46030"/>
    <n v="46034"/>
    <n v="46034"/>
    <x v="1"/>
    <x v="1"/>
    <x v="1"/>
  </r>
  <r>
    <x v="104"/>
    <s v="O0041"/>
    <x v="3"/>
    <x v="5"/>
    <x v="5"/>
    <n v="45868"/>
    <n v="45871"/>
    <n v="45874"/>
    <x v="4"/>
    <x v="0"/>
    <x v="2"/>
  </r>
  <r>
    <x v="105"/>
    <s v="O0126"/>
    <x v="1"/>
    <x v="3"/>
    <x v="11"/>
    <n v="45868"/>
    <n v="45872"/>
    <n v="45872"/>
    <x v="1"/>
    <x v="1"/>
    <x v="1"/>
  </r>
  <r>
    <x v="106"/>
    <s v="O0023"/>
    <x v="3"/>
    <x v="2"/>
    <x v="11"/>
    <n v="45794"/>
    <n v="45798"/>
    <n v="45798"/>
    <x v="1"/>
    <x v="1"/>
    <x v="1"/>
  </r>
  <r>
    <x v="107"/>
    <s v="O0061"/>
    <x v="3"/>
    <x v="3"/>
    <x v="0"/>
    <n v="45993"/>
    <n v="45996"/>
    <n v="45996"/>
    <x v="1"/>
    <x v="1"/>
    <x v="1"/>
  </r>
  <r>
    <x v="108"/>
    <s v="O0241"/>
    <x v="0"/>
    <x v="5"/>
    <x v="0"/>
    <n v="45813"/>
    <n v="45816"/>
    <n v="45816"/>
    <x v="1"/>
    <x v="1"/>
    <x v="1"/>
  </r>
  <r>
    <x v="109"/>
    <s v="O0065"/>
    <x v="0"/>
    <x v="5"/>
    <x v="1"/>
    <n v="45985"/>
    <n v="45989"/>
    <n v="45989"/>
    <x v="1"/>
    <x v="1"/>
    <x v="1"/>
  </r>
  <r>
    <x v="110"/>
    <s v="O0012"/>
    <x v="3"/>
    <x v="3"/>
    <x v="2"/>
    <n v="45969"/>
    <n v="45973"/>
    <n v="45977"/>
    <x v="2"/>
    <x v="0"/>
    <x v="2"/>
  </r>
  <r>
    <x v="111"/>
    <s v="O0097"/>
    <x v="2"/>
    <x v="2"/>
    <x v="1"/>
    <n v="46041"/>
    <n v="46045"/>
    <n v="46050"/>
    <x v="3"/>
    <x v="0"/>
    <x v="2"/>
  </r>
  <r>
    <x v="112"/>
    <s v="O0234"/>
    <x v="4"/>
    <x v="1"/>
    <x v="2"/>
    <n v="45946"/>
    <n v="45950"/>
    <n v="45951"/>
    <x v="5"/>
    <x v="0"/>
    <x v="0"/>
  </r>
  <r>
    <x v="113"/>
    <s v="O0229"/>
    <x v="0"/>
    <x v="5"/>
    <x v="2"/>
    <n v="45875"/>
    <n v="45879"/>
    <n v="45879"/>
    <x v="1"/>
    <x v="1"/>
    <x v="1"/>
  </r>
  <r>
    <x v="114"/>
    <s v="O0150"/>
    <x v="3"/>
    <x v="3"/>
    <x v="2"/>
    <n v="45786"/>
    <n v="45790"/>
    <n v="45793"/>
    <x v="4"/>
    <x v="0"/>
    <x v="2"/>
  </r>
  <r>
    <x v="115"/>
    <s v="O0161"/>
    <x v="4"/>
    <x v="4"/>
    <x v="0"/>
    <n v="45958"/>
    <n v="45961"/>
    <n v="45961"/>
    <x v="1"/>
    <x v="1"/>
    <x v="1"/>
  </r>
  <r>
    <x v="116"/>
    <s v="O0013"/>
    <x v="3"/>
    <x v="2"/>
    <x v="7"/>
    <n v="45850"/>
    <n v="45854"/>
    <n v="45854"/>
    <x v="1"/>
    <x v="1"/>
    <x v="1"/>
  </r>
  <r>
    <x v="117"/>
    <s v="O0241"/>
    <x v="1"/>
    <x v="0"/>
    <x v="9"/>
    <n v="45812"/>
    <n v="45814"/>
    <n v="45814"/>
    <x v="1"/>
    <x v="1"/>
    <x v="1"/>
  </r>
  <r>
    <x v="118"/>
    <s v="O0009"/>
    <x v="3"/>
    <x v="2"/>
    <x v="6"/>
    <n v="46053"/>
    <n v="46057"/>
    <n v="46057"/>
    <x v="1"/>
    <x v="1"/>
    <x v="1"/>
  </r>
  <r>
    <x v="119"/>
    <s v="O0215"/>
    <x v="3"/>
    <x v="3"/>
    <x v="1"/>
    <n v="45989"/>
    <n v="45993"/>
    <n v="45998"/>
    <x v="3"/>
    <x v="0"/>
    <x v="2"/>
  </r>
  <r>
    <x v="120"/>
    <s v="O0046"/>
    <x v="3"/>
    <x v="5"/>
    <x v="11"/>
    <n v="45864"/>
    <n v="45868"/>
    <n v="45868"/>
    <x v="1"/>
    <x v="1"/>
    <x v="1"/>
  </r>
  <r>
    <x v="121"/>
    <s v="O0224"/>
    <x v="4"/>
    <x v="5"/>
    <x v="6"/>
    <n v="46039"/>
    <n v="46043"/>
    <n v="46048"/>
    <x v="3"/>
    <x v="0"/>
    <x v="2"/>
  </r>
  <r>
    <x v="122"/>
    <s v="O0031"/>
    <x v="3"/>
    <x v="2"/>
    <x v="10"/>
    <n v="45825"/>
    <n v="45828"/>
    <n v="45828"/>
    <x v="1"/>
    <x v="1"/>
    <x v="1"/>
  </r>
  <r>
    <x v="123"/>
    <s v="O0051"/>
    <x v="4"/>
    <x v="2"/>
    <x v="6"/>
    <n v="46015"/>
    <n v="46019"/>
    <n v="46019"/>
    <x v="1"/>
    <x v="1"/>
    <x v="1"/>
  </r>
  <r>
    <x v="124"/>
    <s v="O0235"/>
    <x v="3"/>
    <x v="0"/>
    <x v="7"/>
    <n v="45862"/>
    <n v="45866"/>
    <n v="45866"/>
    <x v="1"/>
    <x v="1"/>
    <x v="1"/>
  </r>
  <r>
    <x v="125"/>
    <s v="O0059"/>
    <x v="3"/>
    <x v="0"/>
    <x v="8"/>
    <n v="45791"/>
    <n v="45793"/>
    <n v="45795"/>
    <x v="0"/>
    <x v="0"/>
    <x v="0"/>
  </r>
  <r>
    <x v="126"/>
    <s v="O0032"/>
    <x v="3"/>
    <x v="5"/>
    <x v="11"/>
    <n v="46035"/>
    <n v="46039"/>
    <n v="46039"/>
    <x v="1"/>
    <x v="1"/>
    <x v="1"/>
  </r>
  <r>
    <x v="127"/>
    <s v="O0073"/>
    <x v="3"/>
    <x v="3"/>
    <x v="8"/>
    <n v="45974"/>
    <n v="45976"/>
    <n v="45976"/>
    <x v="1"/>
    <x v="1"/>
    <x v="1"/>
  </r>
  <r>
    <x v="128"/>
    <s v="O0230"/>
    <x v="0"/>
    <x v="0"/>
    <x v="11"/>
    <n v="45909"/>
    <n v="45913"/>
    <n v="45913"/>
    <x v="1"/>
    <x v="1"/>
    <x v="1"/>
  </r>
  <r>
    <x v="129"/>
    <s v="O0186"/>
    <x v="4"/>
    <x v="2"/>
    <x v="1"/>
    <n v="46035"/>
    <n v="46039"/>
    <n v="46042"/>
    <x v="4"/>
    <x v="0"/>
    <x v="2"/>
  </r>
  <r>
    <x v="130"/>
    <s v="O0101"/>
    <x v="3"/>
    <x v="1"/>
    <x v="10"/>
    <n v="45901"/>
    <n v="45904"/>
    <n v="45904"/>
    <x v="1"/>
    <x v="1"/>
    <x v="1"/>
  </r>
  <r>
    <x v="131"/>
    <s v="O0203"/>
    <x v="3"/>
    <x v="0"/>
    <x v="7"/>
    <n v="45845"/>
    <n v="45849"/>
    <n v="45849"/>
    <x v="1"/>
    <x v="1"/>
    <x v="1"/>
  </r>
  <r>
    <x v="132"/>
    <s v="O0067"/>
    <x v="1"/>
    <x v="3"/>
    <x v="5"/>
    <n v="46011"/>
    <n v="46014"/>
    <n v="46014"/>
    <x v="1"/>
    <x v="1"/>
    <x v="1"/>
  </r>
  <r>
    <x v="133"/>
    <s v="O0125"/>
    <x v="3"/>
    <x v="2"/>
    <x v="1"/>
    <n v="45908"/>
    <n v="45912"/>
    <n v="45912"/>
    <x v="1"/>
    <x v="1"/>
    <x v="1"/>
  </r>
  <r>
    <x v="134"/>
    <s v="O0121"/>
    <x v="0"/>
    <x v="1"/>
    <x v="10"/>
    <n v="45911"/>
    <n v="45914"/>
    <n v="45919"/>
    <x v="3"/>
    <x v="0"/>
    <x v="2"/>
  </r>
  <r>
    <x v="135"/>
    <s v="O0027"/>
    <x v="1"/>
    <x v="1"/>
    <x v="10"/>
    <n v="45855"/>
    <n v="45858"/>
    <n v="45858"/>
    <x v="1"/>
    <x v="1"/>
    <x v="1"/>
  </r>
  <r>
    <x v="136"/>
    <s v="O0029"/>
    <x v="4"/>
    <x v="1"/>
    <x v="5"/>
    <n v="45895"/>
    <n v="45898"/>
    <n v="45900"/>
    <x v="0"/>
    <x v="0"/>
    <x v="0"/>
  </r>
  <r>
    <x v="137"/>
    <s v="O0011"/>
    <x v="1"/>
    <x v="4"/>
    <x v="0"/>
    <n v="46012"/>
    <n v="46015"/>
    <n v="46015"/>
    <x v="1"/>
    <x v="1"/>
    <x v="1"/>
  </r>
  <r>
    <x v="138"/>
    <s v="O0032"/>
    <x v="1"/>
    <x v="0"/>
    <x v="3"/>
    <n v="46037"/>
    <n v="46039"/>
    <n v="46043"/>
    <x v="2"/>
    <x v="0"/>
    <x v="2"/>
  </r>
  <r>
    <x v="139"/>
    <s v="O0003"/>
    <x v="1"/>
    <x v="3"/>
    <x v="3"/>
    <n v="46032"/>
    <n v="46034"/>
    <n v="46034"/>
    <x v="1"/>
    <x v="1"/>
    <x v="1"/>
  </r>
  <r>
    <x v="140"/>
    <s v="O0031"/>
    <x v="2"/>
    <x v="4"/>
    <x v="6"/>
    <n v="45824"/>
    <n v="45828"/>
    <n v="45833"/>
    <x v="3"/>
    <x v="0"/>
    <x v="2"/>
  </r>
  <r>
    <x v="141"/>
    <s v="O0146"/>
    <x v="3"/>
    <x v="1"/>
    <x v="4"/>
    <n v="45879"/>
    <n v="45882"/>
    <n v="45882"/>
    <x v="1"/>
    <x v="1"/>
    <x v="1"/>
  </r>
  <r>
    <x v="142"/>
    <s v="O0125"/>
    <x v="4"/>
    <x v="3"/>
    <x v="9"/>
    <n v="45909"/>
    <n v="45911"/>
    <n v="45911"/>
    <x v="1"/>
    <x v="1"/>
    <x v="1"/>
  </r>
  <r>
    <x v="143"/>
    <s v="O0222"/>
    <x v="2"/>
    <x v="1"/>
    <x v="2"/>
    <n v="45943"/>
    <n v="45947"/>
    <n v="45947"/>
    <x v="1"/>
    <x v="1"/>
    <x v="1"/>
  </r>
  <r>
    <x v="144"/>
    <s v="O0078"/>
    <x v="0"/>
    <x v="1"/>
    <x v="6"/>
    <n v="45866"/>
    <n v="45870"/>
    <n v="45870"/>
    <x v="1"/>
    <x v="1"/>
    <x v="1"/>
  </r>
  <r>
    <x v="145"/>
    <s v="O0203"/>
    <x v="1"/>
    <x v="0"/>
    <x v="8"/>
    <n v="45845"/>
    <n v="45847"/>
    <n v="45847"/>
    <x v="1"/>
    <x v="1"/>
    <x v="1"/>
  </r>
  <r>
    <x v="146"/>
    <s v="O0068"/>
    <x v="4"/>
    <x v="5"/>
    <x v="11"/>
    <n v="45917"/>
    <n v="45921"/>
    <n v="45921"/>
    <x v="1"/>
    <x v="1"/>
    <x v="1"/>
  </r>
  <r>
    <x v="147"/>
    <s v="O0198"/>
    <x v="2"/>
    <x v="3"/>
    <x v="8"/>
    <n v="45785"/>
    <n v="45787"/>
    <n v="45787"/>
    <x v="1"/>
    <x v="1"/>
    <x v="1"/>
  </r>
  <r>
    <x v="148"/>
    <s v="O0153"/>
    <x v="3"/>
    <x v="2"/>
    <x v="7"/>
    <n v="45895"/>
    <n v="45899"/>
    <n v="45899"/>
    <x v="1"/>
    <x v="1"/>
    <x v="1"/>
  </r>
  <r>
    <x v="149"/>
    <s v="O0041"/>
    <x v="3"/>
    <x v="4"/>
    <x v="6"/>
    <n v="45869"/>
    <n v="45873"/>
    <n v="45877"/>
    <x v="2"/>
    <x v="0"/>
    <x v="2"/>
  </r>
  <r>
    <x v="150"/>
    <s v="O0191"/>
    <x v="0"/>
    <x v="5"/>
    <x v="10"/>
    <n v="45987"/>
    <n v="45990"/>
    <n v="45990"/>
    <x v="1"/>
    <x v="1"/>
    <x v="1"/>
  </r>
  <r>
    <x v="151"/>
    <s v="O0087"/>
    <x v="4"/>
    <x v="5"/>
    <x v="8"/>
    <n v="45880"/>
    <n v="45882"/>
    <n v="45886"/>
    <x v="2"/>
    <x v="0"/>
    <x v="2"/>
  </r>
  <r>
    <x v="152"/>
    <s v="O0122"/>
    <x v="3"/>
    <x v="1"/>
    <x v="6"/>
    <n v="45969"/>
    <n v="45973"/>
    <n v="45974"/>
    <x v="5"/>
    <x v="0"/>
    <x v="0"/>
  </r>
  <r>
    <x v="153"/>
    <s v="O0059"/>
    <x v="4"/>
    <x v="2"/>
    <x v="7"/>
    <n v="45792"/>
    <n v="45796"/>
    <n v="45801"/>
    <x v="3"/>
    <x v="0"/>
    <x v="2"/>
  </r>
  <r>
    <x v="154"/>
    <s v="O0056"/>
    <x v="4"/>
    <x v="5"/>
    <x v="8"/>
    <n v="45811"/>
    <n v="45813"/>
    <n v="45814"/>
    <x v="5"/>
    <x v="0"/>
    <x v="0"/>
  </r>
  <r>
    <x v="155"/>
    <s v="O0132"/>
    <x v="0"/>
    <x v="1"/>
    <x v="6"/>
    <n v="46031"/>
    <n v="46035"/>
    <n v="46035"/>
    <x v="1"/>
    <x v="1"/>
    <x v="1"/>
  </r>
  <r>
    <x v="156"/>
    <s v="O0159"/>
    <x v="1"/>
    <x v="4"/>
    <x v="2"/>
    <n v="45826"/>
    <n v="45830"/>
    <n v="45830"/>
    <x v="1"/>
    <x v="1"/>
    <x v="1"/>
  </r>
  <r>
    <x v="157"/>
    <s v="O0162"/>
    <x v="2"/>
    <x v="2"/>
    <x v="5"/>
    <n v="45850"/>
    <n v="45853"/>
    <n v="45853"/>
    <x v="1"/>
    <x v="1"/>
    <x v="1"/>
  </r>
  <r>
    <x v="158"/>
    <s v="O0119"/>
    <x v="1"/>
    <x v="4"/>
    <x v="9"/>
    <n v="45815"/>
    <n v="45817"/>
    <n v="45817"/>
    <x v="1"/>
    <x v="1"/>
    <x v="1"/>
  </r>
  <r>
    <x v="159"/>
    <s v="O0225"/>
    <x v="3"/>
    <x v="2"/>
    <x v="3"/>
    <n v="46014"/>
    <n v="46016"/>
    <n v="46016"/>
    <x v="1"/>
    <x v="1"/>
    <x v="1"/>
  </r>
  <r>
    <x v="160"/>
    <s v="O0060"/>
    <x v="1"/>
    <x v="1"/>
    <x v="11"/>
    <n v="45789"/>
    <n v="45793"/>
    <n v="45795"/>
    <x v="0"/>
    <x v="0"/>
    <x v="0"/>
  </r>
  <r>
    <x v="161"/>
    <s v="O0045"/>
    <x v="2"/>
    <x v="3"/>
    <x v="4"/>
    <n v="45987"/>
    <n v="45990"/>
    <n v="45994"/>
    <x v="2"/>
    <x v="0"/>
    <x v="2"/>
  </r>
  <r>
    <x v="162"/>
    <s v="O0020"/>
    <x v="3"/>
    <x v="3"/>
    <x v="7"/>
    <n v="45955"/>
    <n v="45959"/>
    <n v="45961"/>
    <x v="0"/>
    <x v="0"/>
    <x v="0"/>
  </r>
  <r>
    <x v="163"/>
    <s v="O0234"/>
    <x v="4"/>
    <x v="4"/>
    <x v="5"/>
    <n v="45947"/>
    <n v="45950"/>
    <n v="45950"/>
    <x v="1"/>
    <x v="1"/>
    <x v="1"/>
  </r>
  <r>
    <x v="164"/>
    <s v="O0095"/>
    <x v="1"/>
    <x v="0"/>
    <x v="3"/>
    <n v="46030"/>
    <n v="46032"/>
    <n v="46032"/>
    <x v="1"/>
    <x v="1"/>
    <x v="1"/>
  </r>
  <r>
    <x v="165"/>
    <s v="O0085"/>
    <x v="1"/>
    <x v="3"/>
    <x v="9"/>
    <n v="45909"/>
    <n v="45911"/>
    <n v="45911"/>
    <x v="1"/>
    <x v="1"/>
    <x v="1"/>
  </r>
  <r>
    <x v="166"/>
    <s v="O0118"/>
    <x v="1"/>
    <x v="5"/>
    <x v="5"/>
    <n v="45779"/>
    <n v="45782"/>
    <n v="45782"/>
    <x v="1"/>
    <x v="1"/>
    <x v="1"/>
  </r>
  <r>
    <x v="167"/>
    <s v="O0191"/>
    <x v="3"/>
    <x v="1"/>
    <x v="0"/>
    <n v="45988"/>
    <n v="45991"/>
    <n v="45995"/>
    <x v="2"/>
    <x v="0"/>
    <x v="2"/>
  </r>
  <r>
    <x v="168"/>
    <s v="O0157"/>
    <x v="0"/>
    <x v="3"/>
    <x v="11"/>
    <n v="45867"/>
    <n v="45871"/>
    <n v="45871"/>
    <x v="1"/>
    <x v="1"/>
    <x v="1"/>
  </r>
  <r>
    <x v="169"/>
    <s v="O0051"/>
    <x v="3"/>
    <x v="4"/>
    <x v="7"/>
    <n v="46013"/>
    <n v="46017"/>
    <n v="46017"/>
    <x v="1"/>
    <x v="1"/>
    <x v="1"/>
  </r>
  <r>
    <x v="170"/>
    <s v="O0059"/>
    <x v="4"/>
    <x v="3"/>
    <x v="10"/>
    <n v="45790"/>
    <n v="45793"/>
    <n v="45793"/>
    <x v="1"/>
    <x v="1"/>
    <x v="1"/>
  </r>
  <r>
    <x v="171"/>
    <s v="O0111"/>
    <x v="3"/>
    <x v="0"/>
    <x v="11"/>
    <n v="46024"/>
    <n v="46028"/>
    <n v="46028"/>
    <x v="1"/>
    <x v="1"/>
    <x v="1"/>
  </r>
  <r>
    <x v="172"/>
    <s v="O0093"/>
    <x v="3"/>
    <x v="3"/>
    <x v="7"/>
    <n v="45923"/>
    <n v="45927"/>
    <n v="45927"/>
    <x v="1"/>
    <x v="1"/>
    <x v="1"/>
  </r>
  <r>
    <x v="173"/>
    <s v="O0246"/>
    <x v="4"/>
    <x v="3"/>
    <x v="1"/>
    <n v="45963"/>
    <n v="45967"/>
    <n v="45967"/>
    <x v="1"/>
    <x v="1"/>
    <x v="1"/>
  </r>
  <r>
    <x v="174"/>
    <s v="O0178"/>
    <x v="2"/>
    <x v="3"/>
    <x v="1"/>
    <n v="45935"/>
    <n v="45939"/>
    <n v="45939"/>
    <x v="1"/>
    <x v="1"/>
    <x v="1"/>
  </r>
  <r>
    <x v="175"/>
    <s v="O0142"/>
    <x v="3"/>
    <x v="2"/>
    <x v="6"/>
    <n v="45945"/>
    <n v="45949"/>
    <n v="45953"/>
    <x v="2"/>
    <x v="0"/>
    <x v="2"/>
  </r>
  <r>
    <x v="176"/>
    <s v="O0064"/>
    <x v="4"/>
    <x v="3"/>
    <x v="2"/>
    <n v="45804"/>
    <n v="45808"/>
    <n v="45808"/>
    <x v="1"/>
    <x v="1"/>
    <x v="1"/>
  </r>
  <r>
    <x v="177"/>
    <s v="O0054"/>
    <x v="1"/>
    <x v="1"/>
    <x v="10"/>
    <n v="45824"/>
    <n v="45827"/>
    <n v="45827"/>
    <x v="1"/>
    <x v="1"/>
    <x v="1"/>
  </r>
  <r>
    <x v="178"/>
    <s v="O0119"/>
    <x v="4"/>
    <x v="4"/>
    <x v="8"/>
    <n v="45817"/>
    <n v="45819"/>
    <n v="45819"/>
    <x v="1"/>
    <x v="1"/>
    <x v="1"/>
  </r>
  <r>
    <x v="179"/>
    <s v="O0078"/>
    <x v="0"/>
    <x v="1"/>
    <x v="10"/>
    <n v="45868"/>
    <n v="45871"/>
    <n v="45871"/>
    <x v="1"/>
    <x v="1"/>
    <x v="1"/>
  </r>
  <r>
    <x v="180"/>
    <s v="O0137"/>
    <x v="3"/>
    <x v="4"/>
    <x v="0"/>
    <n v="45905"/>
    <n v="45908"/>
    <n v="45908"/>
    <x v="1"/>
    <x v="1"/>
    <x v="1"/>
  </r>
  <r>
    <x v="181"/>
    <s v="O0158"/>
    <x v="0"/>
    <x v="4"/>
    <x v="8"/>
    <n v="45895"/>
    <n v="45897"/>
    <n v="45897"/>
    <x v="1"/>
    <x v="1"/>
    <x v="1"/>
  </r>
  <r>
    <x v="182"/>
    <s v="O0176"/>
    <x v="0"/>
    <x v="4"/>
    <x v="6"/>
    <n v="45801"/>
    <n v="45805"/>
    <n v="45805"/>
    <x v="1"/>
    <x v="1"/>
    <x v="1"/>
  </r>
  <r>
    <x v="183"/>
    <s v="O0214"/>
    <x v="0"/>
    <x v="0"/>
    <x v="6"/>
    <n v="45917"/>
    <n v="45921"/>
    <n v="45921"/>
    <x v="1"/>
    <x v="1"/>
    <x v="1"/>
  </r>
  <r>
    <x v="184"/>
    <s v="O0211"/>
    <x v="4"/>
    <x v="3"/>
    <x v="3"/>
    <n v="46053"/>
    <n v="46055"/>
    <n v="46055"/>
    <x v="1"/>
    <x v="1"/>
    <x v="1"/>
  </r>
  <r>
    <x v="185"/>
    <s v="O0145"/>
    <x v="1"/>
    <x v="1"/>
    <x v="6"/>
    <n v="45829"/>
    <n v="45833"/>
    <n v="45833"/>
    <x v="1"/>
    <x v="1"/>
    <x v="1"/>
  </r>
  <r>
    <x v="186"/>
    <s v="O0213"/>
    <x v="2"/>
    <x v="3"/>
    <x v="0"/>
    <n v="45882"/>
    <n v="45885"/>
    <n v="45885"/>
    <x v="1"/>
    <x v="1"/>
    <x v="1"/>
  </r>
  <r>
    <x v="187"/>
    <s v="O0206"/>
    <x v="3"/>
    <x v="4"/>
    <x v="1"/>
    <n v="45969"/>
    <n v="45973"/>
    <n v="45973"/>
    <x v="1"/>
    <x v="1"/>
    <x v="1"/>
  </r>
  <r>
    <x v="188"/>
    <s v="O0230"/>
    <x v="0"/>
    <x v="2"/>
    <x v="10"/>
    <n v="45908"/>
    <n v="45911"/>
    <n v="45911"/>
    <x v="1"/>
    <x v="1"/>
    <x v="1"/>
  </r>
  <r>
    <x v="189"/>
    <s v="O0197"/>
    <x v="2"/>
    <x v="3"/>
    <x v="9"/>
    <n v="45803"/>
    <n v="45805"/>
    <n v="45805"/>
    <x v="1"/>
    <x v="1"/>
    <x v="1"/>
  </r>
  <r>
    <x v="190"/>
    <s v="O0078"/>
    <x v="1"/>
    <x v="3"/>
    <x v="4"/>
    <n v="45868"/>
    <n v="45871"/>
    <n v="45872"/>
    <x v="5"/>
    <x v="0"/>
    <x v="0"/>
  </r>
  <r>
    <x v="191"/>
    <s v="O0152"/>
    <x v="2"/>
    <x v="4"/>
    <x v="3"/>
    <n v="45949"/>
    <n v="45951"/>
    <n v="45951"/>
    <x v="1"/>
    <x v="1"/>
    <x v="1"/>
  </r>
  <r>
    <x v="192"/>
    <s v="O0150"/>
    <x v="1"/>
    <x v="0"/>
    <x v="0"/>
    <n v="45787"/>
    <n v="45790"/>
    <n v="45795"/>
    <x v="3"/>
    <x v="0"/>
    <x v="2"/>
  </r>
  <r>
    <x v="193"/>
    <s v="O0122"/>
    <x v="2"/>
    <x v="5"/>
    <x v="10"/>
    <n v="45968"/>
    <n v="45971"/>
    <n v="45976"/>
    <x v="3"/>
    <x v="0"/>
    <x v="2"/>
  </r>
  <r>
    <x v="194"/>
    <s v="O0047"/>
    <x v="3"/>
    <x v="3"/>
    <x v="0"/>
    <n v="45793"/>
    <n v="45796"/>
    <n v="45796"/>
    <x v="1"/>
    <x v="1"/>
    <x v="1"/>
  </r>
  <r>
    <x v="195"/>
    <s v="O0212"/>
    <x v="4"/>
    <x v="5"/>
    <x v="11"/>
    <n v="45978"/>
    <n v="45982"/>
    <n v="45982"/>
    <x v="1"/>
    <x v="1"/>
    <x v="1"/>
  </r>
  <r>
    <x v="196"/>
    <s v="O0020"/>
    <x v="1"/>
    <x v="2"/>
    <x v="9"/>
    <n v="45955"/>
    <n v="45957"/>
    <n v="45957"/>
    <x v="1"/>
    <x v="1"/>
    <x v="1"/>
  </r>
  <r>
    <x v="197"/>
    <s v="O0087"/>
    <x v="0"/>
    <x v="0"/>
    <x v="4"/>
    <n v="45881"/>
    <n v="45884"/>
    <n v="45885"/>
    <x v="5"/>
    <x v="0"/>
    <x v="0"/>
  </r>
  <r>
    <x v="198"/>
    <s v="O0197"/>
    <x v="3"/>
    <x v="4"/>
    <x v="9"/>
    <n v="45805"/>
    <n v="45807"/>
    <n v="45811"/>
    <x v="2"/>
    <x v="0"/>
    <x v="2"/>
  </r>
  <r>
    <x v="199"/>
    <s v="O0097"/>
    <x v="3"/>
    <x v="2"/>
    <x v="1"/>
    <n v="46041"/>
    <n v="46045"/>
    <n v="46045"/>
    <x v="1"/>
    <x v="1"/>
    <x v="1"/>
  </r>
  <r>
    <x v="200"/>
    <s v="O0105"/>
    <x v="3"/>
    <x v="2"/>
    <x v="2"/>
    <n v="45875"/>
    <n v="45879"/>
    <n v="45879"/>
    <x v="1"/>
    <x v="1"/>
    <x v="1"/>
  </r>
  <r>
    <x v="201"/>
    <s v="O0188"/>
    <x v="3"/>
    <x v="5"/>
    <x v="9"/>
    <n v="45995"/>
    <n v="45997"/>
    <n v="45997"/>
    <x v="1"/>
    <x v="1"/>
    <x v="1"/>
  </r>
  <r>
    <x v="202"/>
    <s v="O0058"/>
    <x v="4"/>
    <x v="3"/>
    <x v="3"/>
    <n v="46039"/>
    <n v="46041"/>
    <n v="46045"/>
    <x v="2"/>
    <x v="0"/>
    <x v="2"/>
  </r>
  <r>
    <x v="203"/>
    <s v="O0030"/>
    <x v="2"/>
    <x v="3"/>
    <x v="3"/>
    <n v="45960"/>
    <n v="45962"/>
    <n v="45962"/>
    <x v="1"/>
    <x v="1"/>
    <x v="1"/>
  </r>
  <r>
    <x v="204"/>
    <s v="O0024"/>
    <x v="3"/>
    <x v="0"/>
    <x v="0"/>
    <n v="46019"/>
    <n v="46022"/>
    <n v="46022"/>
    <x v="1"/>
    <x v="1"/>
    <x v="1"/>
  </r>
  <r>
    <x v="205"/>
    <s v="O0209"/>
    <x v="0"/>
    <x v="4"/>
    <x v="0"/>
    <n v="45916"/>
    <n v="45919"/>
    <n v="45923"/>
    <x v="2"/>
    <x v="0"/>
    <x v="2"/>
  </r>
  <r>
    <x v="206"/>
    <s v="O0058"/>
    <x v="4"/>
    <x v="3"/>
    <x v="2"/>
    <n v="46040"/>
    <n v="46044"/>
    <n v="46049"/>
    <x v="3"/>
    <x v="0"/>
    <x v="2"/>
  </r>
  <r>
    <x v="207"/>
    <s v="O0133"/>
    <x v="0"/>
    <x v="3"/>
    <x v="9"/>
    <n v="45912"/>
    <n v="45914"/>
    <n v="45914"/>
    <x v="1"/>
    <x v="1"/>
    <x v="1"/>
  </r>
  <r>
    <x v="208"/>
    <s v="O0122"/>
    <x v="2"/>
    <x v="2"/>
    <x v="0"/>
    <n v="45968"/>
    <n v="45971"/>
    <n v="45971"/>
    <x v="1"/>
    <x v="1"/>
    <x v="1"/>
  </r>
  <r>
    <x v="209"/>
    <s v="O0091"/>
    <x v="1"/>
    <x v="1"/>
    <x v="2"/>
    <n v="45919"/>
    <n v="45923"/>
    <n v="45923"/>
    <x v="1"/>
    <x v="1"/>
    <x v="1"/>
  </r>
  <r>
    <x v="210"/>
    <s v="O0217"/>
    <x v="2"/>
    <x v="3"/>
    <x v="6"/>
    <n v="46002"/>
    <n v="46006"/>
    <n v="46009"/>
    <x v="4"/>
    <x v="0"/>
    <x v="2"/>
  </r>
  <r>
    <x v="211"/>
    <s v="O0015"/>
    <x v="2"/>
    <x v="2"/>
    <x v="10"/>
    <n v="45797"/>
    <n v="45800"/>
    <n v="45800"/>
    <x v="1"/>
    <x v="1"/>
    <x v="1"/>
  </r>
  <r>
    <x v="212"/>
    <s v="O0037"/>
    <x v="2"/>
    <x v="0"/>
    <x v="6"/>
    <n v="46052"/>
    <n v="46056"/>
    <n v="46057"/>
    <x v="5"/>
    <x v="0"/>
    <x v="0"/>
  </r>
  <r>
    <x v="213"/>
    <s v="O0167"/>
    <x v="4"/>
    <x v="0"/>
    <x v="2"/>
    <n v="45906"/>
    <n v="45910"/>
    <n v="45910"/>
    <x v="1"/>
    <x v="1"/>
    <x v="1"/>
  </r>
  <r>
    <x v="214"/>
    <s v="O0117"/>
    <x v="2"/>
    <x v="3"/>
    <x v="11"/>
    <n v="45969"/>
    <n v="45973"/>
    <n v="45974"/>
    <x v="5"/>
    <x v="0"/>
    <x v="0"/>
  </r>
  <r>
    <x v="215"/>
    <s v="O0211"/>
    <x v="2"/>
    <x v="1"/>
    <x v="9"/>
    <n v="46053"/>
    <n v="46055"/>
    <n v="46059"/>
    <x v="2"/>
    <x v="0"/>
    <x v="2"/>
  </r>
  <r>
    <x v="216"/>
    <s v="O0063"/>
    <x v="2"/>
    <x v="3"/>
    <x v="9"/>
    <n v="46013"/>
    <n v="46015"/>
    <n v="46016"/>
    <x v="5"/>
    <x v="0"/>
    <x v="0"/>
  </r>
  <r>
    <x v="217"/>
    <s v="O0192"/>
    <x v="2"/>
    <x v="0"/>
    <x v="9"/>
    <n v="45787"/>
    <n v="45789"/>
    <n v="45789"/>
    <x v="1"/>
    <x v="1"/>
    <x v="1"/>
  </r>
  <r>
    <x v="218"/>
    <s v="O0169"/>
    <x v="2"/>
    <x v="2"/>
    <x v="4"/>
    <n v="46038"/>
    <n v="46041"/>
    <n v="46041"/>
    <x v="1"/>
    <x v="1"/>
    <x v="1"/>
  </r>
  <r>
    <x v="219"/>
    <s v="O0145"/>
    <x v="1"/>
    <x v="4"/>
    <x v="10"/>
    <n v="45830"/>
    <n v="45833"/>
    <n v="45833"/>
    <x v="1"/>
    <x v="1"/>
    <x v="1"/>
  </r>
  <r>
    <x v="220"/>
    <s v="O0151"/>
    <x v="3"/>
    <x v="1"/>
    <x v="8"/>
    <n v="45938"/>
    <n v="45940"/>
    <n v="45940"/>
    <x v="1"/>
    <x v="1"/>
    <x v="1"/>
  </r>
  <r>
    <x v="221"/>
    <s v="O0093"/>
    <x v="4"/>
    <x v="2"/>
    <x v="6"/>
    <n v="45924"/>
    <n v="45928"/>
    <n v="45928"/>
    <x v="1"/>
    <x v="1"/>
    <x v="1"/>
  </r>
  <r>
    <x v="222"/>
    <s v="O0139"/>
    <x v="0"/>
    <x v="2"/>
    <x v="2"/>
    <n v="45960"/>
    <n v="45964"/>
    <n v="45964"/>
    <x v="1"/>
    <x v="1"/>
    <x v="1"/>
  </r>
  <r>
    <x v="223"/>
    <s v="O0070"/>
    <x v="4"/>
    <x v="2"/>
    <x v="0"/>
    <n v="46001"/>
    <n v="46004"/>
    <n v="46004"/>
    <x v="1"/>
    <x v="1"/>
    <x v="1"/>
  </r>
  <r>
    <x v="224"/>
    <s v="O0075"/>
    <x v="0"/>
    <x v="5"/>
    <x v="4"/>
    <n v="45821"/>
    <n v="45824"/>
    <n v="45824"/>
    <x v="1"/>
    <x v="1"/>
    <x v="1"/>
  </r>
  <r>
    <x v="225"/>
    <s v="O0151"/>
    <x v="3"/>
    <x v="2"/>
    <x v="9"/>
    <n v="45939"/>
    <n v="45941"/>
    <n v="45941"/>
    <x v="1"/>
    <x v="1"/>
    <x v="1"/>
  </r>
  <r>
    <x v="226"/>
    <s v="O0065"/>
    <x v="1"/>
    <x v="1"/>
    <x v="6"/>
    <n v="45987"/>
    <n v="45991"/>
    <n v="45991"/>
    <x v="1"/>
    <x v="1"/>
    <x v="1"/>
  </r>
  <r>
    <x v="227"/>
    <s v="O0180"/>
    <x v="2"/>
    <x v="0"/>
    <x v="6"/>
    <n v="45933"/>
    <n v="45937"/>
    <n v="45942"/>
    <x v="3"/>
    <x v="0"/>
    <x v="2"/>
  </r>
  <r>
    <x v="228"/>
    <s v="O0063"/>
    <x v="0"/>
    <x v="5"/>
    <x v="4"/>
    <n v="46014"/>
    <n v="46017"/>
    <n v="46017"/>
    <x v="1"/>
    <x v="1"/>
    <x v="1"/>
  </r>
  <r>
    <x v="229"/>
    <s v="O0100"/>
    <x v="2"/>
    <x v="0"/>
    <x v="4"/>
    <n v="45873"/>
    <n v="45876"/>
    <n v="45877"/>
    <x v="5"/>
    <x v="0"/>
    <x v="0"/>
  </r>
  <r>
    <x v="230"/>
    <s v="O0171"/>
    <x v="4"/>
    <x v="2"/>
    <x v="2"/>
    <n v="45875"/>
    <n v="45879"/>
    <n v="45882"/>
    <x v="4"/>
    <x v="0"/>
    <x v="2"/>
  </r>
  <r>
    <x v="231"/>
    <s v="O0180"/>
    <x v="3"/>
    <x v="4"/>
    <x v="7"/>
    <n v="45935"/>
    <n v="45939"/>
    <n v="45939"/>
    <x v="1"/>
    <x v="1"/>
    <x v="1"/>
  </r>
  <r>
    <x v="232"/>
    <s v="O0023"/>
    <x v="2"/>
    <x v="1"/>
    <x v="10"/>
    <n v="45793"/>
    <n v="45796"/>
    <n v="45796"/>
    <x v="1"/>
    <x v="1"/>
    <x v="1"/>
  </r>
  <r>
    <x v="233"/>
    <s v="O0248"/>
    <x v="4"/>
    <x v="0"/>
    <x v="11"/>
    <n v="45951"/>
    <n v="45955"/>
    <n v="45959"/>
    <x v="2"/>
    <x v="0"/>
    <x v="2"/>
  </r>
  <r>
    <x v="234"/>
    <s v="O0053"/>
    <x v="3"/>
    <x v="2"/>
    <x v="5"/>
    <n v="45930"/>
    <n v="45933"/>
    <n v="45933"/>
    <x v="1"/>
    <x v="1"/>
    <x v="1"/>
  </r>
  <r>
    <x v="235"/>
    <s v="O0201"/>
    <x v="3"/>
    <x v="4"/>
    <x v="2"/>
    <n v="45815"/>
    <n v="45819"/>
    <n v="45819"/>
    <x v="1"/>
    <x v="1"/>
    <x v="1"/>
  </r>
  <r>
    <x v="236"/>
    <s v="O0197"/>
    <x v="3"/>
    <x v="2"/>
    <x v="8"/>
    <n v="45803"/>
    <n v="45805"/>
    <n v="45805"/>
    <x v="1"/>
    <x v="1"/>
    <x v="1"/>
  </r>
  <r>
    <x v="237"/>
    <s v="O0221"/>
    <x v="4"/>
    <x v="0"/>
    <x v="10"/>
    <n v="45941"/>
    <n v="45944"/>
    <n v="45944"/>
    <x v="1"/>
    <x v="1"/>
    <x v="1"/>
  </r>
  <r>
    <x v="238"/>
    <s v="O0157"/>
    <x v="1"/>
    <x v="1"/>
    <x v="10"/>
    <n v="45868"/>
    <n v="45871"/>
    <n v="45871"/>
    <x v="1"/>
    <x v="1"/>
    <x v="1"/>
  </r>
  <r>
    <x v="239"/>
    <s v="O0190"/>
    <x v="3"/>
    <x v="4"/>
    <x v="4"/>
    <n v="45953"/>
    <n v="45956"/>
    <n v="45956"/>
    <x v="1"/>
    <x v="1"/>
    <x v="1"/>
  </r>
  <r>
    <x v="240"/>
    <s v="O0017"/>
    <x v="2"/>
    <x v="4"/>
    <x v="9"/>
    <n v="45814"/>
    <n v="45816"/>
    <n v="45816"/>
    <x v="1"/>
    <x v="1"/>
    <x v="1"/>
  </r>
  <r>
    <x v="241"/>
    <s v="O0158"/>
    <x v="2"/>
    <x v="4"/>
    <x v="10"/>
    <n v="45895"/>
    <n v="45898"/>
    <n v="45899"/>
    <x v="5"/>
    <x v="0"/>
    <x v="0"/>
  </r>
  <r>
    <x v="242"/>
    <s v="O0035"/>
    <x v="1"/>
    <x v="4"/>
    <x v="1"/>
    <n v="46042"/>
    <n v="46046"/>
    <n v="46046"/>
    <x v="1"/>
    <x v="1"/>
    <x v="1"/>
  </r>
  <r>
    <x v="243"/>
    <s v="O0066"/>
    <x v="4"/>
    <x v="5"/>
    <x v="6"/>
    <n v="46017"/>
    <n v="46021"/>
    <n v="46026"/>
    <x v="3"/>
    <x v="0"/>
    <x v="2"/>
  </r>
  <r>
    <x v="244"/>
    <s v="O0040"/>
    <x v="2"/>
    <x v="3"/>
    <x v="2"/>
    <n v="45956"/>
    <n v="45960"/>
    <n v="45960"/>
    <x v="1"/>
    <x v="1"/>
    <x v="1"/>
  </r>
  <r>
    <x v="245"/>
    <s v="O0043"/>
    <x v="3"/>
    <x v="5"/>
    <x v="3"/>
    <n v="45937"/>
    <n v="45939"/>
    <n v="45939"/>
    <x v="1"/>
    <x v="1"/>
    <x v="1"/>
  </r>
  <r>
    <x v="246"/>
    <s v="O0192"/>
    <x v="3"/>
    <x v="1"/>
    <x v="6"/>
    <n v="45787"/>
    <n v="45791"/>
    <n v="45793"/>
    <x v="0"/>
    <x v="0"/>
    <x v="0"/>
  </r>
  <r>
    <x v="247"/>
    <s v="O0242"/>
    <x v="0"/>
    <x v="2"/>
    <x v="3"/>
    <n v="45907"/>
    <n v="45909"/>
    <n v="45909"/>
    <x v="1"/>
    <x v="1"/>
    <x v="1"/>
  </r>
  <r>
    <x v="248"/>
    <s v="O0037"/>
    <x v="3"/>
    <x v="1"/>
    <x v="11"/>
    <n v="46053"/>
    <n v="46057"/>
    <n v="46061"/>
    <x v="2"/>
    <x v="0"/>
    <x v="2"/>
  </r>
  <r>
    <x v="249"/>
    <s v="O0100"/>
    <x v="1"/>
    <x v="0"/>
    <x v="1"/>
    <n v="45873"/>
    <n v="45877"/>
    <n v="45877"/>
    <x v="1"/>
    <x v="1"/>
    <x v="1"/>
  </r>
  <r>
    <x v="250"/>
    <s v="O0185"/>
    <x v="3"/>
    <x v="5"/>
    <x v="5"/>
    <n v="45852"/>
    <n v="45855"/>
    <n v="45855"/>
    <x v="1"/>
    <x v="1"/>
    <x v="1"/>
  </r>
  <r>
    <x v="251"/>
    <s v="O0103"/>
    <x v="3"/>
    <x v="4"/>
    <x v="3"/>
    <n v="45908"/>
    <n v="45910"/>
    <n v="45910"/>
    <x v="1"/>
    <x v="1"/>
    <x v="1"/>
  </r>
  <r>
    <x v="252"/>
    <s v="O0226"/>
    <x v="0"/>
    <x v="2"/>
    <x v="7"/>
    <n v="45886"/>
    <n v="45890"/>
    <n v="45890"/>
    <x v="1"/>
    <x v="1"/>
    <x v="1"/>
  </r>
  <r>
    <x v="253"/>
    <s v="O0205"/>
    <x v="1"/>
    <x v="2"/>
    <x v="7"/>
    <n v="45870"/>
    <n v="45874"/>
    <n v="45874"/>
    <x v="1"/>
    <x v="1"/>
    <x v="1"/>
  </r>
  <r>
    <x v="254"/>
    <s v="O0117"/>
    <x v="1"/>
    <x v="0"/>
    <x v="5"/>
    <n v="45967"/>
    <n v="45970"/>
    <n v="45970"/>
    <x v="1"/>
    <x v="1"/>
    <x v="1"/>
  </r>
  <r>
    <x v="255"/>
    <s v="O0037"/>
    <x v="3"/>
    <x v="5"/>
    <x v="11"/>
    <n v="46052"/>
    <n v="46056"/>
    <n v="46060"/>
    <x v="2"/>
    <x v="0"/>
    <x v="2"/>
  </r>
  <r>
    <x v="256"/>
    <s v="O0014"/>
    <x v="3"/>
    <x v="4"/>
    <x v="3"/>
    <n v="45813"/>
    <n v="45815"/>
    <n v="45815"/>
    <x v="1"/>
    <x v="1"/>
    <x v="1"/>
  </r>
  <r>
    <x v="257"/>
    <s v="O0140"/>
    <x v="2"/>
    <x v="4"/>
    <x v="4"/>
    <n v="45864"/>
    <n v="45867"/>
    <n v="45872"/>
    <x v="3"/>
    <x v="0"/>
    <x v="2"/>
  </r>
  <r>
    <x v="258"/>
    <s v="O0015"/>
    <x v="1"/>
    <x v="0"/>
    <x v="8"/>
    <n v="45795"/>
    <n v="45797"/>
    <n v="45797"/>
    <x v="1"/>
    <x v="1"/>
    <x v="1"/>
  </r>
  <r>
    <x v="259"/>
    <s v="O0225"/>
    <x v="3"/>
    <x v="3"/>
    <x v="4"/>
    <n v="46014"/>
    <n v="46017"/>
    <n v="46018"/>
    <x v="5"/>
    <x v="0"/>
    <x v="0"/>
  </r>
  <r>
    <x v="260"/>
    <s v="O0013"/>
    <x v="0"/>
    <x v="3"/>
    <x v="4"/>
    <n v="45852"/>
    <n v="45855"/>
    <n v="45856"/>
    <x v="5"/>
    <x v="0"/>
    <x v="0"/>
  </r>
  <r>
    <x v="261"/>
    <s v="O0150"/>
    <x v="2"/>
    <x v="5"/>
    <x v="3"/>
    <n v="45785"/>
    <n v="45787"/>
    <n v="45787"/>
    <x v="1"/>
    <x v="1"/>
    <x v="1"/>
  </r>
  <r>
    <x v="262"/>
    <s v="O0006"/>
    <x v="4"/>
    <x v="4"/>
    <x v="3"/>
    <n v="46042"/>
    <n v="46044"/>
    <n v="46045"/>
    <x v="5"/>
    <x v="0"/>
    <x v="0"/>
  </r>
  <r>
    <x v="263"/>
    <s v="O0003"/>
    <x v="2"/>
    <x v="1"/>
    <x v="6"/>
    <n v="46030"/>
    <n v="46034"/>
    <n v="46034"/>
    <x v="1"/>
    <x v="1"/>
    <x v="1"/>
  </r>
  <r>
    <x v="264"/>
    <s v="O0221"/>
    <x v="4"/>
    <x v="5"/>
    <x v="8"/>
    <n v="45941"/>
    <n v="45943"/>
    <n v="45943"/>
    <x v="1"/>
    <x v="1"/>
    <x v="1"/>
  </r>
  <r>
    <x v="265"/>
    <s v="O0231"/>
    <x v="4"/>
    <x v="3"/>
    <x v="10"/>
    <n v="45841"/>
    <n v="45844"/>
    <n v="45849"/>
    <x v="3"/>
    <x v="0"/>
    <x v="2"/>
  </r>
  <r>
    <x v="266"/>
    <s v="O0045"/>
    <x v="1"/>
    <x v="5"/>
    <x v="0"/>
    <n v="45986"/>
    <n v="45989"/>
    <n v="45989"/>
    <x v="1"/>
    <x v="1"/>
    <x v="1"/>
  </r>
  <r>
    <x v="267"/>
    <s v="O0043"/>
    <x v="0"/>
    <x v="1"/>
    <x v="1"/>
    <n v="45938"/>
    <n v="45942"/>
    <n v="45942"/>
    <x v="1"/>
    <x v="1"/>
    <x v="1"/>
  </r>
  <r>
    <x v="268"/>
    <s v="O0146"/>
    <x v="2"/>
    <x v="0"/>
    <x v="2"/>
    <n v="45877"/>
    <n v="45881"/>
    <n v="45884"/>
    <x v="4"/>
    <x v="0"/>
    <x v="2"/>
  </r>
  <r>
    <x v="269"/>
    <s v="O0250"/>
    <x v="1"/>
    <x v="4"/>
    <x v="3"/>
    <n v="45795"/>
    <n v="45797"/>
    <n v="45797"/>
    <x v="1"/>
    <x v="1"/>
    <x v="1"/>
  </r>
  <r>
    <x v="270"/>
    <s v="O0217"/>
    <x v="2"/>
    <x v="0"/>
    <x v="2"/>
    <n v="46002"/>
    <n v="46006"/>
    <n v="46006"/>
    <x v="1"/>
    <x v="1"/>
    <x v="1"/>
  </r>
  <r>
    <x v="271"/>
    <s v="O0154"/>
    <x v="1"/>
    <x v="2"/>
    <x v="10"/>
    <n v="45927"/>
    <n v="45930"/>
    <n v="45930"/>
    <x v="1"/>
    <x v="1"/>
    <x v="1"/>
  </r>
  <r>
    <x v="272"/>
    <s v="O0070"/>
    <x v="1"/>
    <x v="2"/>
    <x v="8"/>
    <n v="46001"/>
    <n v="46003"/>
    <n v="46003"/>
    <x v="1"/>
    <x v="1"/>
    <x v="1"/>
  </r>
  <r>
    <x v="273"/>
    <s v="O0187"/>
    <x v="0"/>
    <x v="3"/>
    <x v="0"/>
    <n v="45895"/>
    <n v="45898"/>
    <n v="45898"/>
    <x v="1"/>
    <x v="1"/>
    <x v="1"/>
  </r>
  <r>
    <x v="274"/>
    <s v="O0239"/>
    <x v="0"/>
    <x v="0"/>
    <x v="7"/>
    <n v="45868"/>
    <n v="45872"/>
    <n v="45874"/>
    <x v="0"/>
    <x v="0"/>
    <x v="0"/>
  </r>
  <r>
    <x v="275"/>
    <s v="O0201"/>
    <x v="2"/>
    <x v="1"/>
    <x v="11"/>
    <n v="45814"/>
    <n v="45818"/>
    <n v="45818"/>
    <x v="1"/>
    <x v="1"/>
    <x v="1"/>
  </r>
  <r>
    <x v="276"/>
    <s v="O0101"/>
    <x v="3"/>
    <x v="4"/>
    <x v="0"/>
    <n v="45901"/>
    <n v="45904"/>
    <n v="45909"/>
    <x v="3"/>
    <x v="0"/>
    <x v="2"/>
  </r>
  <r>
    <x v="277"/>
    <s v="O0193"/>
    <x v="0"/>
    <x v="2"/>
    <x v="7"/>
    <n v="46035"/>
    <n v="46039"/>
    <n v="46044"/>
    <x v="3"/>
    <x v="0"/>
    <x v="2"/>
  </r>
  <r>
    <x v="278"/>
    <s v="O0235"/>
    <x v="1"/>
    <x v="1"/>
    <x v="10"/>
    <n v="45861"/>
    <n v="45864"/>
    <n v="45867"/>
    <x v="4"/>
    <x v="0"/>
    <x v="2"/>
  </r>
  <r>
    <x v="279"/>
    <s v="O0029"/>
    <x v="4"/>
    <x v="5"/>
    <x v="1"/>
    <n v="45894"/>
    <n v="45898"/>
    <n v="45898"/>
    <x v="1"/>
    <x v="1"/>
    <x v="1"/>
  </r>
  <r>
    <x v="280"/>
    <s v="O0153"/>
    <x v="2"/>
    <x v="2"/>
    <x v="11"/>
    <n v="45895"/>
    <n v="45899"/>
    <n v="45899"/>
    <x v="1"/>
    <x v="1"/>
    <x v="1"/>
  </r>
  <r>
    <x v="281"/>
    <s v="O0180"/>
    <x v="2"/>
    <x v="1"/>
    <x v="9"/>
    <n v="45933"/>
    <n v="45935"/>
    <n v="45935"/>
    <x v="1"/>
    <x v="1"/>
    <x v="1"/>
  </r>
  <r>
    <x v="282"/>
    <s v="O0048"/>
    <x v="4"/>
    <x v="5"/>
    <x v="8"/>
    <n v="45795"/>
    <n v="45797"/>
    <n v="45800"/>
    <x v="4"/>
    <x v="0"/>
    <x v="2"/>
  </r>
  <r>
    <x v="283"/>
    <s v="O0147"/>
    <x v="3"/>
    <x v="3"/>
    <x v="0"/>
    <n v="45990"/>
    <n v="45993"/>
    <n v="45998"/>
    <x v="3"/>
    <x v="0"/>
    <x v="2"/>
  </r>
  <r>
    <x v="284"/>
    <s v="O0096"/>
    <x v="0"/>
    <x v="5"/>
    <x v="6"/>
    <n v="45866"/>
    <n v="45870"/>
    <n v="45870"/>
    <x v="1"/>
    <x v="1"/>
    <x v="1"/>
  </r>
  <r>
    <x v="285"/>
    <s v="O0110"/>
    <x v="0"/>
    <x v="3"/>
    <x v="0"/>
    <n v="45818"/>
    <n v="45821"/>
    <n v="45821"/>
    <x v="1"/>
    <x v="1"/>
    <x v="1"/>
  </r>
  <r>
    <x v="286"/>
    <s v="O0111"/>
    <x v="4"/>
    <x v="5"/>
    <x v="2"/>
    <n v="46024"/>
    <n v="46028"/>
    <n v="46028"/>
    <x v="1"/>
    <x v="1"/>
    <x v="1"/>
  </r>
  <r>
    <x v="287"/>
    <s v="O0068"/>
    <x v="1"/>
    <x v="5"/>
    <x v="9"/>
    <n v="45919"/>
    <n v="45921"/>
    <n v="45921"/>
    <x v="1"/>
    <x v="1"/>
    <x v="1"/>
  </r>
  <r>
    <x v="288"/>
    <s v="O0090"/>
    <x v="1"/>
    <x v="4"/>
    <x v="7"/>
    <n v="46017"/>
    <n v="46021"/>
    <n v="46025"/>
    <x v="2"/>
    <x v="0"/>
    <x v="2"/>
  </r>
  <r>
    <x v="289"/>
    <s v="O0123"/>
    <x v="4"/>
    <x v="0"/>
    <x v="7"/>
    <n v="45934"/>
    <n v="45938"/>
    <n v="45938"/>
    <x v="1"/>
    <x v="1"/>
    <x v="1"/>
  </r>
  <r>
    <x v="290"/>
    <s v="O0224"/>
    <x v="2"/>
    <x v="4"/>
    <x v="9"/>
    <n v="46039"/>
    <n v="46041"/>
    <n v="46042"/>
    <x v="5"/>
    <x v="0"/>
    <x v="0"/>
  </r>
  <r>
    <x v="291"/>
    <s v="O0036"/>
    <x v="1"/>
    <x v="0"/>
    <x v="10"/>
    <n v="45806"/>
    <n v="45809"/>
    <n v="45809"/>
    <x v="1"/>
    <x v="1"/>
    <x v="1"/>
  </r>
  <r>
    <x v="292"/>
    <s v="O0217"/>
    <x v="0"/>
    <x v="4"/>
    <x v="7"/>
    <n v="46002"/>
    <n v="46006"/>
    <n v="46011"/>
    <x v="3"/>
    <x v="0"/>
    <x v="2"/>
  </r>
  <r>
    <x v="293"/>
    <s v="O0070"/>
    <x v="0"/>
    <x v="2"/>
    <x v="10"/>
    <n v="46001"/>
    <n v="46004"/>
    <n v="46005"/>
    <x v="5"/>
    <x v="0"/>
    <x v="0"/>
  </r>
  <r>
    <x v="294"/>
    <s v="O0148"/>
    <x v="3"/>
    <x v="5"/>
    <x v="0"/>
    <n v="46007"/>
    <n v="46010"/>
    <n v="46012"/>
    <x v="0"/>
    <x v="0"/>
    <x v="0"/>
  </r>
  <r>
    <x v="295"/>
    <s v="O0132"/>
    <x v="2"/>
    <x v="1"/>
    <x v="1"/>
    <n v="46029"/>
    <n v="46033"/>
    <n v="46033"/>
    <x v="1"/>
    <x v="1"/>
    <x v="1"/>
  </r>
  <r>
    <x v="296"/>
    <s v="O0075"/>
    <x v="0"/>
    <x v="3"/>
    <x v="6"/>
    <n v="45821"/>
    <n v="45825"/>
    <n v="45828"/>
    <x v="4"/>
    <x v="0"/>
    <x v="2"/>
  </r>
  <r>
    <x v="297"/>
    <s v="O0200"/>
    <x v="2"/>
    <x v="1"/>
    <x v="10"/>
    <n v="46017"/>
    <n v="46020"/>
    <n v="46025"/>
    <x v="3"/>
    <x v="0"/>
    <x v="2"/>
  </r>
  <r>
    <x v="298"/>
    <s v="O0230"/>
    <x v="4"/>
    <x v="4"/>
    <x v="2"/>
    <n v="45909"/>
    <n v="45913"/>
    <n v="45913"/>
    <x v="1"/>
    <x v="1"/>
    <x v="1"/>
  </r>
  <r>
    <x v="299"/>
    <s v="O0065"/>
    <x v="1"/>
    <x v="2"/>
    <x v="8"/>
    <n v="45987"/>
    <n v="45989"/>
    <n v="45989"/>
    <x v="1"/>
    <x v="1"/>
    <x v="1"/>
  </r>
  <r>
    <x v="300"/>
    <s v="O0157"/>
    <x v="0"/>
    <x v="5"/>
    <x v="0"/>
    <n v="45867"/>
    <n v="45870"/>
    <n v="45870"/>
    <x v="1"/>
    <x v="1"/>
    <x v="1"/>
  </r>
  <r>
    <x v="301"/>
    <s v="O0107"/>
    <x v="0"/>
    <x v="5"/>
    <x v="4"/>
    <n v="45865"/>
    <n v="45868"/>
    <n v="45870"/>
    <x v="0"/>
    <x v="0"/>
    <x v="0"/>
  </r>
  <r>
    <x v="302"/>
    <s v="O0067"/>
    <x v="3"/>
    <x v="0"/>
    <x v="11"/>
    <n v="46012"/>
    <n v="46016"/>
    <n v="46016"/>
    <x v="1"/>
    <x v="1"/>
    <x v="1"/>
  </r>
  <r>
    <x v="303"/>
    <s v="O0114"/>
    <x v="4"/>
    <x v="1"/>
    <x v="7"/>
    <n v="45912"/>
    <n v="45916"/>
    <n v="45916"/>
    <x v="1"/>
    <x v="1"/>
    <x v="1"/>
  </r>
  <r>
    <x v="304"/>
    <s v="O0082"/>
    <x v="4"/>
    <x v="4"/>
    <x v="1"/>
    <n v="46046"/>
    <n v="46050"/>
    <n v="46050"/>
    <x v="1"/>
    <x v="1"/>
    <x v="1"/>
  </r>
  <r>
    <x v="305"/>
    <s v="O0176"/>
    <x v="1"/>
    <x v="2"/>
    <x v="5"/>
    <n v="45801"/>
    <n v="45804"/>
    <n v="45806"/>
    <x v="0"/>
    <x v="0"/>
    <x v="0"/>
  </r>
  <r>
    <x v="306"/>
    <s v="O0009"/>
    <x v="4"/>
    <x v="0"/>
    <x v="2"/>
    <n v="46054"/>
    <n v="46058"/>
    <n v="46058"/>
    <x v="1"/>
    <x v="1"/>
    <x v="1"/>
  </r>
  <r>
    <x v="307"/>
    <s v="O0132"/>
    <x v="4"/>
    <x v="1"/>
    <x v="9"/>
    <n v="46030"/>
    <n v="46032"/>
    <n v="46032"/>
    <x v="1"/>
    <x v="1"/>
    <x v="1"/>
  </r>
  <r>
    <x v="308"/>
    <s v="O0240"/>
    <x v="3"/>
    <x v="5"/>
    <x v="1"/>
    <n v="45812"/>
    <n v="45816"/>
    <n v="45820"/>
    <x v="2"/>
    <x v="0"/>
    <x v="2"/>
  </r>
  <r>
    <x v="309"/>
    <s v="O0248"/>
    <x v="2"/>
    <x v="3"/>
    <x v="6"/>
    <n v="45950"/>
    <n v="45954"/>
    <n v="45954"/>
    <x v="1"/>
    <x v="1"/>
    <x v="1"/>
  </r>
  <r>
    <x v="310"/>
    <s v="O0036"/>
    <x v="3"/>
    <x v="4"/>
    <x v="5"/>
    <n v="45808"/>
    <n v="45811"/>
    <n v="45816"/>
    <x v="3"/>
    <x v="0"/>
    <x v="2"/>
  </r>
  <r>
    <x v="311"/>
    <s v="O0048"/>
    <x v="3"/>
    <x v="4"/>
    <x v="4"/>
    <n v="45796"/>
    <n v="45799"/>
    <n v="45799"/>
    <x v="1"/>
    <x v="1"/>
    <x v="1"/>
  </r>
  <r>
    <x v="312"/>
    <s v="O0215"/>
    <x v="4"/>
    <x v="0"/>
    <x v="3"/>
    <n v="45988"/>
    <n v="45990"/>
    <n v="45993"/>
    <x v="4"/>
    <x v="0"/>
    <x v="2"/>
  </r>
  <r>
    <x v="313"/>
    <s v="O0011"/>
    <x v="3"/>
    <x v="4"/>
    <x v="11"/>
    <n v="46012"/>
    <n v="46016"/>
    <n v="46016"/>
    <x v="1"/>
    <x v="1"/>
    <x v="1"/>
  </r>
  <r>
    <x v="314"/>
    <s v="O0126"/>
    <x v="4"/>
    <x v="3"/>
    <x v="3"/>
    <n v="45868"/>
    <n v="45870"/>
    <n v="45871"/>
    <x v="5"/>
    <x v="0"/>
    <x v="0"/>
  </r>
  <r>
    <x v="315"/>
    <s v="O0228"/>
    <x v="2"/>
    <x v="2"/>
    <x v="8"/>
    <n v="45993"/>
    <n v="45995"/>
    <n v="45995"/>
    <x v="1"/>
    <x v="1"/>
    <x v="1"/>
  </r>
  <r>
    <x v="316"/>
    <s v="O0063"/>
    <x v="0"/>
    <x v="5"/>
    <x v="2"/>
    <n v="46015"/>
    <n v="46019"/>
    <n v="46019"/>
    <x v="1"/>
    <x v="1"/>
    <x v="1"/>
  </r>
  <r>
    <x v="317"/>
    <s v="O0159"/>
    <x v="0"/>
    <x v="4"/>
    <x v="4"/>
    <n v="45827"/>
    <n v="45830"/>
    <n v="45830"/>
    <x v="1"/>
    <x v="1"/>
    <x v="1"/>
  </r>
  <r>
    <x v="318"/>
    <s v="O0048"/>
    <x v="3"/>
    <x v="2"/>
    <x v="8"/>
    <n v="45795"/>
    <n v="45797"/>
    <n v="45797"/>
    <x v="1"/>
    <x v="1"/>
    <x v="1"/>
  </r>
  <r>
    <x v="319"/>
    <s v="O0229"/>
    <x v="1"/>
    <x v="1"/>
    <x v="8"/>
    <n v="45876"/>
    <n v="45878"/>
    <n v="45883"/>
    <x v="3"/>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1">
    <pivotField dataField="1" showAll="0">
      <items count="3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showAll="0"/>
    <pivotField showAll="0">
      <items count="6">
        <item x="4"/>
        <item x="1"/>
        <item x="0"/>
        <item x="3"/>
        <item x="2"/>
        <item t="default"/>
      </items>
    </pivotField>
    <pivotField showAll="0">
      <items count="7">
        <item x="4"/>
        <item x="5"/>
        <item x="2"/>
        <item x="1"/>
        <item x="0"/>
        <item x="3"/>
        <item t="default"/>
      </items>
    </pivotField>
    <pivotField showAll="0"/>
    <pivotField showAll="0"/>
    <pivotField showAll="0"/>
    <pivotField showAll="0"/>
    <pivotField showAll="0">
      <items count="7">
        <item x="1"/>
        <item x="5"/>
        <item x="0"/>
        <item x="4"/>
        <item x="2"/>
        <item x="3"/>
        <item t="default"/>
      </items>
    </pivotField>
    <pivotField axis="axisRow" showAll="0">
      <items count="3">
        <item x="0"/>
        <item x="1"/>
        <item t="default"/>
      </items>
    </pivotField>
    <pivotField showAll="0">
      <items count="4">
        <item x="2"/>
        <item x="0"/>
        <item x="1"/>
        <item t="default"/>
      </items>
    </pivotField>
  </pivotFields>
  <rowFields count="1">
    <field x="9"/>
  </rowFields>
  <rowItems count="3">
    <i>
      <x/>
    </i>
    <i>
      <x v="1"/>
    </i>
    <i t="grand">
      <x/>
    </i>
  </rowItems>
  <colItems count="1">
    <i/>
  </colItems>
  <dataFields count="1">
    <dataField name="Count of Shipment_ID" fld="0" subtotal="count" showDataAs="percentOfTotal" baseField="0" baseItem="0" numFmtId="10"/>
  </dataFields>
  <formats count="24">
    <format dxfId="105">
      <pivotArea collapsedLevelsAreSubtotals="1" fieldPosition="0">
        <references count="1">
          <reference field="9" count="1">
            <x v="0"/>
          </reference>
        </references>
      </pivotArea>
    </format>
    <format dxfId="104">
      <pivotArea collapsedLevelsAreSubtotals="1" fieldPosition="0">
        <references count="1">
          <reference field="9" count="1">
            <x v="0"/>
          </reference>
        </references>
      </pivotArea>
    </format>
    <format dxfId="103">
      <pivotArea collapsedLevelsAreSubtotals="1" fieldPosition="0">
        <references count="1">
          <reference field="9" count="1">
            <x v="0"/>
          </reference>
        </references>
      </pivotArea>
    </format>
    <format dxfId="102">
      <pivotArea collapsedLevelsAreSubtotals="1" fieldPosition="0">
        <references count="1">
          <reference field="9" count="1">
            <x v="0"/>
          </reference>
        </references>
      </pivotArea>
    </format>
    <format dxfId="101">
      <pivotArea collapsedLevelsAreSubtotals="1" fieldPosition="0">
        <references count="1">
          <reference field="9" count="1">
            <x v="0"/>
          </reference>
        </references>
      </pivotArea>
    </format>
    <format dxfId="100">
      <pivotArea collapsedLevelsAreSubtotals="1" fieldPosition="0">
        <references count="1">
          <reference field="9" count="1">
            <x v="0"/>
          </reference>
        </references>
      </pivotArea>
    </format>
    <format dxfId="99">
      <pivotArea collapsedLevelsAreSubtotals="1" fieldPosition="0">
        <references count="1">
          <reference field="9" count="1">
            <x v="0"/>
          </reference>
        </references>
      </pivotArea>
    </format>
    <format dxfId="98">
      <pivotArea dataOnly="0" labelOnly="1" outline="0" axis="axisValues" fieldPosition="0"/>
    </format>
    <format dxfId="97">
      <pivotArea dataOnly="0" labelOnly="1" outline="0" axis="axisValues" fieldPosition="0"/>
    </format>
    <format dxfId="96">
      <pivotArea dataOnly="0" labelOnly="1" outline="0" axis="axisValues" fieldPosition="0"/>
    </format>
    <format dxfId="95">
      <pivotArea dataOnly="0" labelOnly="1" outline="0" axis="axisValues" fieldPosition="0"/>
    </format>
    <format dxfId="94">
      <pivotArea dataOnly="0" labelOnly="1" outline="0" axis="axisValues" fieldPosition="0"/>
    </format>
    <format dxfId="93">
      <pivotArea dataOnly="0" labelOnly="1" outline="0" axis="axisValues" fieldPosition="0"/>
    </format>
    <format dxfId="92">
      <pivotArea dataOnly="0" labelOnly="1" outline="0" axis="axisValues" fieldPosition="0"/>
    </format>
    <format dxfId="91">
      <pivotArea dataOnly="0" labelOnly="1" outline="0" axis="axisValues" fieldPosition="0"/>
    </format>
    <format dxfId="90">
      <pivotArea dataOnly="0" labelOnly="1" outline="0" axis="axisValues" fieldPosition="0"/>
    </format>
    <format dxfId="89">
      <pivotArea dataOnly="0" labelOnly="1" outline="0" axis="axisValues" fieldPosition="0"/>
    </format>
    <format dxfId="88">
      <pivotArea dataOnly="0" labelOnly="1" outline="0" axis="axisValues" fieldPosition="0"/>
    </format>
    <format dxfId="87">
      <pivotArea dataOnly="0" labelOnly="1" outline="0" axis="axisValues" fieldPosition="0"/>
    </format>
    <format dxfId="86">
      <pivotArea dataOnly="0" labelOnly="1" outline="0" axis="axisValues" fieldPosition="0"/>
    </format>
    <format dxfId="85">
      <pivotArea dataOnly="0" labelOnly="1" outline="0" axis="axisValues" fieldPosition="0"/>
    </format>
    <format dxfId="84">
      <pivotArea dataOnly="0" labelOnly="1" outline="0" axis="axisValues" fieldPosition="0"/>
    </format>
    <format dxfId="83">
      <pivotArea dataOnly="0" labelOnly="1" outline="0" axis="axisValues" fieldPosition="0"/>
    </format>
    <format dxfId="82">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1">
    <pivotField dataField="1" showAll="0"/>
    <pivotField showAll="0"/>
    <pivotField axis="axisRow" showAll="0">
      <items count="6">
        <item x="4"/>
        <item x="1"/>
        <item x="0"/>
        <item x="3"/>
        <item x="2"/>
        <item t="default"/>
      </items>
    </pivotField>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Shipment_ID" fld="0" subtotal="count" baseField="0" baseItem="0"/>
  </dataFields>
  <chartFormats count="2">
    <chartFormat chart="0" format="3"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showAll="0"/>
    <pivotField showAll="0"/>
    <pivotField showAll="0"/>
    <pivotField showAll="0"/>
    <pivotField axis="axisRow" showAll="0">
      <items count="13">
        <item x="9"/>
        <item x="7"/>
        <item x="1"/>
        <item x="5"/>
        <item x="10"/>
        <item x="11"/>
        <item x="8"/>
        <item x="6"/>
        <item x="2"/>
        <item x="4"/>
        <item x="0"/>
        <item x="3"/>
        <item t="default"/>
      </items>
    </pivotField>
    <pivotField showAll="0"/>
    <pivotField showAll="0"/>
    <pivotField showAll="0"/>
    <pivotField dataField="1"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Average of Delay_Days" fld="8" subtotal="average" baseField="4" baseItem="0"/>
  </dataFields>
  <formats count="82">
    <format dxfId="81">
      <pivotArea collapsedLevelsAreSubtotals="1" fieldPosition="0">
        <references count="1">
          <reference field="4" count="1">
            <x v="0"/>
          </reference>
        </references>
      </pivotArea>
    </format>
    <format dxfId="80">
      <pivotArea collapsedLevelsAreSubtotals="1" fieldPosition="0">
        <references count="1">
          <reference field="4" count="1">
            <x v="0"/>
          </reference>
        </references>
      </pivotArea>
    </format>
    <format dxfId="79">
      <pivotArea collapsedLevelsAreSubtotals="1" fieldPosition="0">
        <references count="1">
          <reference field="4" count="1">
            <x v="0"/>
          </reference>
        </references>
      </pivotArea>
    </format>
    <format dxfId="78">
      <pivotArea collapsedLevelsAreSubtotals="1" fieldPosition="0">
        <references count="1">
          <reference field="4" count="1">
            <x v="0"/>
          </reference>
        </references>
      </pivotArea>
    </format>
    <format dxfId="77">
      <pivotArea collapsedLevelsAreSubtotals="1" fieldPosition="0">
        <references count="1">
          <reference field="4" count="1">
            <x v="0"/>
          </reference>
        </references>
      </pivotArea>
    </format>
    <format dxfId="76">
      <pivotArea collapsedLevelsAreSubtotals="1" fieldPosition="0">
        <references count="1">
          <reference field="4" count="1">
            <x v="0"/>
          </reference>
        </references>
      </pivotArea>
    </format>
    <format dxfId="75">
      <pivotArea collapsedLevelsAreSubtotals="1" fieldPosition="0">
        <references count="1">
          <reference field="4" count="1">
            <x v="1"/>
          </reference>
        </references>
      </pivotArea>
    </format>
    <format dxfId="74">
      <pivotArea collapsedLevelsAreSubtotals="1" fieldPosition="0">
        <references count="1">
          <reference field="4" count="1">
            <x v="1"/>
          </reference>
        </references>
      </pivotArea>
    </format>
    <format dxfId="73">
      <pivotArea collapsedLevelsAreSubtotals="1" fieldPosition="0">
        <references count="1">
          <reference field="4" count="1">
            <x v="1"/>
          </reference>
        </references>
      </pivotArea>
    </format>
    <format dxfId="72">
      <pivotArea collapsedLevelsAreSubtotals="1" fieldPosition="0">
        <references count="1">
          <reference field="4" count="1">
            <x v="1"/>
          </reference>
        </references>
      </pivotArea>
    </format>
    <format dxfId="71">
      <pivotArea collapsedLevelsAreSubtotals="1" fieldPosition="0">
        <references count="1">
          <reference field="4" count="1">
            <x v="1"/>
          </reference>
        </references>
      </pivotArea>
    </format>
    <format dxfId="70">
      <pivotArea collapsedLevelsAreSubtotals="1" fieldPosition="0">
        <references count="1">
          <reference field="4" count="1">
            <x v="1"/>
          </reference>
        </references>
      </pivotArea>
    </format>
    <format dxfId="69">
      <pivotArea collapsedLevelsAreSubtotals="1" fieldPosition="0">
        <references count="1">
          <reference field="4" count="1">
            <x v="1"/>
          </reference>
        </references>
      </pivotArea>
    </format>
    <format dxfId="68">
      <pivotArea collapsedLevelsAreSubtotals="1" fieldPosition="0">
        <references count="1">
          <reference field="4" count="1">
            <x v="2"/>
          </reference>
        </references>
      </pivotArea>
    </format>
    <format dxfId="67">
      <pivotArea collapsedLevelsAreSubtotals="1" fieldPosition="0">
        <references count="1">
          <reference field="4" count="1">
            <x v="2"/>
          </reference>
        </references>
      </pivotArea>
    </format>
    <format dxfId="66">
      <pivotArea collapsedLevelsAreSubtotals="1" fieldPosition="0">
        <references count="1">
          <reference field="4" count="1">
            <x v="3"/>
          </reference>
        </references>
      </pivotArea>
    </format>
    <format dxfId="65">
      <pivotArea collapsedLevelsAreSubtotals="1" fieldPosition="0">
        <references count="1">
          <reference field="4" count="1">
            <x v="3"/>
          </reference>
        </references>
      </pivotArea>
    </format>
    <format dxfId="64">
      <pivotArea collapsedLevelsAreSubtotals="1" fieldPosition="0">
        <references count="1">
          <reference field="4" count="1">
            <x v="3"/>
          </reference>
        </references>
      </pivotArea>
    </format>
    <format dxfId="63">
      <pivotArea collapsedLevelsAreSubtotals="1" fieldPosition="0">
        <references count="1">
          <reference field="4" count="1">
            <x v="3"/>
          </reference>
        </references>
      </pivotArea>
    </format>
    <format dxfId="62">
      <pivotArea collapsedLevelsAreSubtotals="1" fieldPosition="0">
        <references count="1">
          <reference field="4" count="1">
            <x v="3"/>
          </reference>
        </references>
      </pivotArea>
    </format>
    <format dxfId="61">
      <pivotArea collapsedLevelsAreSubtotals="1" fieldPosition="0">
        <references count="1">
          <reference field="4" count="1">
            <x v="3"/>
          </reference>
        </references>
      </pivotArea>
    </format>
    <format dxfId="60">
      <pivotArea collapsedLevelsAreSubtotals="1" fieldPosition="0">
        <references count="1">
          <reference field="4" count="1">
            <x v="3"/>
          </reference>
        </references>
      </pivotArea>
    </format>
    <format dxfId="59">
      <pivotArea collapsedLevelsAreSubtotals="1" fieldPosition="0">
        <references count="1">
          <reference field="4" count="1">
            <x v="4"/>
          </reference>
        </references>
      </pivotArea>
    </format>
    <format dxfId="58">
      <pivotArea collapsedLevelsAreSubtotals="1" fieldPosition="0">
        <references count="1">
          <reference field="4" count="1">
            <x v="4"/>
          </reference>
        </references>
      </pivotArea>
    </format>
    <format dxfId="57">
      <pivotArea collapsedLevelsAreSubtotals="1" fieldPosition="0">
        <references count="1">
          <reference field="4" count="1">
            <x v="4"/>
          </reference>
        </references>
      </pivotArea>
    </format>
    <format dxfId="56">
      <pivotArea collapsedLevelsAreSubtotals="1" fieldPosition="0">
        <references count="1">
          <reference field="4" count="1">
            <x v="4"/>
          </reference>
        </references>
      </pivotArea>
    </format>
    <format dxfId="55">
      <pivotArea collapsedLevelsAreSubtotals="1" fieldPosition="0">
        <references count="1">
          <reference field="4" count="1">
            <x v="4"/>
          </reference>
        </references>
      </pivotArea>
    </format>
    <format dxfId="54">
      <pivotArea collapsedLevelsAreSubtotals="1" fieldPosition="0">
        <references count="1">
          <reference field="4" count="1">
            <x v="4"/>
          </reference>
        </references>
      </pivotArea>
    </format>
    <format dxfId="53">
      <pivotArea collapsedLevelsAreSubtotals="1" fieldPosition="0">
        <references count="1">
          <reference field="4" count="1">
            <x v="4"/>
          </reference>
        </references>
      </pivotArea>
    </format>
    <format dxfId="52">
      <pivotArea collapsedLevelsAreSubtotals="1" fieldPosition="0">
        <references count="1">
          <reference field="4" count="1">
            <x v="5"/>
          </reference>
        </references>
      </pivotArea>
    </format>
    <format dxfId="51">
      <pivotArea collapsedLevelsAreSubtotals="1" fieldPosition="0">
        <references count="1">
          <reference field="4" count="1">
            <x v="5"/>
          </reference>
        </references>
      </pivotArea>
    </format>
    <format dxfId="50">
      <pivotArea collapsedLevelsAreSubtotals="1" fieldPosition="0">
        <references count="1">
          <reference field="4" count="1">
            <x v="5"/>
          </reference>
        </references>
      </pivotArea>
    </format>
    <format dxfId="49">
      <pivotArea collapsedLevelsAreSubtotals="1" fieldPosition="0">
        <references count="1">
          <reference field="4" count="1">
            <x v="5"/>
          </reference>
        </references>
      </pivotArea>
    </format>
    <format dxfId="48">
      <pivotArea collapsedLevelsAreSubtotals="1" fieldPosition="0">
        <references count="1">
          <reference field="4" count="1">
            <x v="5"/>
          </reference>
        </references>
      </pivotArea>
    </format>
    <format dxfId="47">
      <pivotArea collapsedLevelsAreSubtotals="1" fieldPosition="0">
        <references count="1">
          <reference field="4" count="1">
            <x v="5"/>
          </reference>
        </references>
      </pivotArea>
    </format>
    <format dxfId="46">
      <pivotArea collapsedLevelsAreSubtotals="1" fieldPosition="0">
        <references count="1">
          <reference field="4" count="1">
            <x v="5"/>
          </reference>
        </references>
      </pivotArea>
    </format>
    <format dxfId="45">
      <pivotArea collapsedLevelsAreSubtotals="1" fieldPosition="0">
        <references count="1">
          <reference field="4" count="1">
            <x v="6"/>
          </reference>
        </references>
      </pivotArea>
    </format>
    <format dxfId="44">
      <pivotArea collapsedLevelsAreSubtotals="1" fieldPosition="0">
        <references count="1">
          <reference field="4" count="1">
            <x v="6"/>
          </reference>
        </references>
      </pivotArea>
    </format>
    <format dxfId="43">
      <pivotArea collapsedLevelsAreSubtotals="1" fieldPosition="0">
        <references count="1">
          <reference field="4" count="1">
            <x v="6"/>
          </reference>
        </references>
      </pivotArea>
    </format>
    <format dxfId="42">
      <pivotArea collapsedLevelsAreSubtotals="1" fieldPosition="0">
        <references count="1">
          <reference field="4" count="1">
            <x v="6"/>
          </reference>
        </references>
      </pivotArea>
    </format>
    <format dxfId="41">
      <pivotArea collapsedLevelsAreSubtotals="1" fieldPosition="0">
        <references count="1">
          <reference field="4" count="1">
            <x v="6"/>
          </reference>
        </references>
      </pivotArea>
    </format>
    <format dxfId="40">
      <pivotArea collapsedLevelsAreSubtotals="1" fieldPosition="0">
        <references count="1">
          <reference field="4" count="1">
            <x v="6"/>
          </reference>
        </references>
      </pivotArea>
    </format>
    <format dxfId="39">
      <pivotArea collapsedLevelsAreSubtotals="1" fieldPosition="0">
        <references count="1">
          <reference field="4" count="1">
            <x v="6"/>
          </reference>
        </references>
      </pivotArea>
    </format>
    <format dxfId="38">
      <pivotArea collapsedLevelsAreSubtotals="1" fieldPosition="0">
        <references count="1">
          <reference field="4" count="1">
            <x v="7"/>
          </reference>
        </references>
      </pivotArea>
    </format>
    <format dxfId="37">
      <pivotArea collapsedLevelsAreSubtotals="1" fieldPosition="0">
        <references count="1">
          <reference field="4" count="1">
            <x v="7"/>
          </reference>
        </references>
      </pivotArea>
    </format>
    <format dxfId="36">
      <pivotArea collapsedLevelsAreSubtotals="1" fieldPosition="0">
        <references count="1">
          <reference field="4" count="1">
            <x v="7"/>
          </reference>
        </references>
      </pivotArea>
    </format>
    <format dxfId="35">
      <pivotArea collapsedLevelsAreSubtotals="1" fieldPosition="0">
        <references count="1">
          <reference field="4" count="1">
            <x v="8"/>
          </reference>
        </references>
      </pivotArea>
    </format>
    <format dxfId="34">
      <pivotArea collapsedLevelsAreSubtotals="1" fieldPosition="0">
        <references count="1">
          <reference field="4" count="1">
            <x v="8"/>
          </reference>
        </references>
      </pivotArea>
    </format>
    <format dxfId="33">
      <pivotArea collapsedLevelsAreSubtotals="1" fieldPosition="0">
        <references count="1">
          <reference field="4" count="1">
            <x v="8"/>
          </reference>
        </references>
      </pivotArea>
    </format>
    <format dxfId="32">
      <pivotArea collapsedLevelsAreSubtotals="1" fieldPosition="0">
        <references count="1">
          <reference field="4" count="1">
            <x v="8"/>
          </reference>
        </references>
      </pivotArea>
    </format>
    <format dxfId="31">
      <pivotArea collapsedLevelsAreSubtotals="1" fieldPosition="0">
        <references count="1">
          <reference field="4" count="1">
            <x v="8"/>
          </reference>
        </references>
      </pivotArea>
    </format>
    <format dxfId="30">
      <pivotArea collapsedLevelsAreSubtotals="1" fieldPosition="0">
        <references count="1">
          <reference field="4" count="1">
            <x v="8"/>
          </reference>
        </references>
      </pivotArea>
    </format>
    <format dxfId="29">
      <pivotArea collapsedLevelsAreSubtotals="1" fieldPosition="0">
        <references count="1">
          <reference field="4" count="1">
            <x v="8"/>
          </reference>
        </references>
      </pivotArea>
    </format>
    <format dxfId="28">
      <pivotArea collapsedLevelsAreSubtotals="1" fieldPosition="0">
        <references count="1">
          <reference field="4" count="1">
            <x v="8"/>
          </reference>
        </references>
      </pivotArea>
    </format>
    <format dxfId="27">
      <pivotArea collapsedLevelsAreSubtotals="1" fieldPosition="0">
        <references count="1">
          <reference field="4" count="1">
            <x v="8"/>
          </reference>
        </references>
      </pivotArea>
    </format>
    <format dxfId="26">
      <pivotArea collapsedLevelsAreSubtotals="1" fieldPosition="0">
        <references count="1">
          <reference field="4" count="1">
            <x v="9"/>
          </reference>
        </references>
      </pivotArea>
    </format>
    <format dxfId="25">
      <pivotArea collapsedLevelsAreSubtotals="1" fieldPosition="0">
        <references count="1">
          <reference field="4" count="1">
            <x v="9"/>
          </reference>
        </references>
      </pivotArea>
    </format>
    <format dxfId="24">
      <pivotArea collapsedLevelsAreSubtotals="1" fieldPosition="0">
        <references count="1">
          <reference field="4" count="1">
            <x v="9"/>
          </reference>
        </references>
      </pivotArea>
    </format>
    <format dxfId="23">
      <pivotArea collapsedLevelsAreSubtotals="1" fieldPosition="0">
        <references count="1">
          <reference field="4" count="1">
            <x v="9"/>
          </reference>
        </references>
      </pivotArea>
    </format>
    <format dxfId="22">
      <pivotArea collapsedLevelsAreSubtotals="1" fieldPosition="0">
        <references count="1">
          <reference field="4" count="1">
            <x v="9"/>
          </reference>
        </references>
      </pivotArea>
    </format>
    <format dxfId="21">
      <pivotArea collapsedLevelsAreSubtotals="1" fieldPosition="0">
        <references count="1">
          <reference field="4" count="1">
            <x v="9"/>
          </reference>
        </references>
      </pivotArea>
    </format>
    <format dxfId="20">
      <pivotArea collapsedLevelsAreSubtotals="1" fieldPosition="0">
        <references count="1">
          <reference field="4" count="1">
            <x v="9"/>
          </reference>
        </references>
      </pivotArea>
    </format>
    <format dxfId="19">
      <pivotArea collapsedLevelsAreSubtotals="1" fieldPosition="0">
        <references count="1">
          <reference field="4" count="1">
            <x v="10"/>
          </reference>
        </references>
      </pivotArea>
    </format>
    <format dxfId="18">
      <pivotArea collapsedLevelsAreSubtotals="1" fieldPosition="0">
        <references count="1">
          <reference field="4" count="1">
            <x v="10"/>
          </reference>
        </references>
      </pivotArea>
    </format>
    <format dxfId="17">
      <pivotArea collapsedLevelsAreSubtotals="1" fieldPosition="0">
        <references count="1">
          <reference field="4" count="1">
            <x v="10"/>
          </reference>
        </references>
      </pivotArea>
    </format>
    <format dxfId="16">
      <pivotArea collapsedLevelsAreSubtotals="1" fieldPosition="0">
        <references count="1">
          <reference field="4" count="1">
            <x v="10"/>
          </reference>
        </references>
      </pivotArea>
    </format>
    <format dxfId="15">
      <pivotArea collapsedLevelsAreSubtotals="1" fieldPosition="0">
        <references count="1">
          <reference field="4" count="1">
            <x v="10"/>
          </reference>
        </references>
      </pivotArea>
    </format>
    <format dxfId="14">
      <pivotArea collapsedLevelsAreSubtotals="1" fieldPosition="0">
        <references count="1">
          <reference field="4" count="1">
            <x v="10"/>
          </reference>
        </references>
      </pivotArea>
    </format>
    <format dxfId="13">
      <pivotArea collapsedLevelsAreSubtotals="1" fieldPosition="0">
        <references count="1">
          <reference field="4" count="1">
            <x v="10"/>
          </reference>
        </references>
      </pivotArea>
    </format>
    <format dxfId="12">
      <pivotArea collapsedLevelsAreSubtotals="1" fieldPosition="0">
        <references count="1">
          <reference field="4" count="1">
            <x v="10"/>
          </reference>
        </references>
      </pivotArea>
    </format>
    <format dxfId="11">
      <pivotArea collapsedLevelsAreSubtotals="1" fieldPosition="0">
        <references count="1">
          <reference field="4" count="1">
            <x v="10"/>
          </reference>
        </references>
      </pivotArea>
    </format>
    <format dxfId="10">
      <pivotArea collapsedLevelsAreSubtotals="1" fieldPosition="0">
        <references count="1">
          <reference field="4" count="1">
            <x v="11"/>
          </reference>
        </references>
      </pivotArea>
    </format>
    <format dxfId="9">
      <pivotArea collapsedLevelsAreSubtotals="1" fieldPosition="0">
        <references count="1">
          <reference field="4" count="1">
            <x v="11"/>
          </reference>
        </references>
      </pivotArea>
    </format>
    <format dxfId="8">
      <pivotArea collapsedLevelsAreSubtotals="1" fieldPosition="0">
        <references count="1">
          <reference field="4" count="1">
            <x v="11"/>
          </reference>
        </references>
      </pivotArea>
    </format>
    <format dxfId="7">
      <pivotArea collapsedLevelsAreSubtotals="1" fieldPosition="0">
        <references count="1">
          <reference field="4" count="1">
            <x v="11"/>
          </reference>
        </references>
      </pivotArea>
    </format>
    <format dxfId="6">
      <pivotArea collapsedLevelsAreSubtotals="1" fieldPosition="0">
        <references count="1">
          <reference field="4" count="1">
            <x v="11"/>
          </reference>
        </references>
      </pivotArea>
    </format>
    <format dxfId="5">
      <pivotArea collapsedLevelsAreSubtotals="1" fieldPosition="0">
        <references count="1">
          <reference field="4" count="1">
            <x v="11"/>
          </reference>
        </references>
      </pivotArea>
    </format>
    <format dxfId="4">
      <pivotArea collapsedLevelsAreSubtotals="1" fieldPosition="0">
        <references count="1">
          <reference field="4" count="1">
            <x v="11"/>
          </reference>
        </references>
      </pivotArea>
    </format>
    <format dxfId="3">
      <pivotArea grandRow="1" outline="0" collapsedLevelsAreSubtotals="1" fieldPosition="0"/>
    </format>
    <format dxfId="2">
      <pivotArea grandRow="1" outline="0" collapsedLevelsAreSubtotals="1" fieldPosition="0"/>
    </format>
    <format dxfId="1">
      <pivotArea grandRow="1" outline="0" collapsedLevelsAreSubtotals="1" fieldPosition="0"/>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1">
    <pivotField dataField="1"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0"/>
  </rowFields>
  <rowItems count="4">
    <i>
      <x/>
    </i>
    <i>
      <x v="1"/>
    </i>
    <i>
      <x v="2"/>
    </i>
    <i t="grand">
      <x/>
    </i>
  </rowItems>
  <colItems count="1">
    <i/>
  </colItems>
  <dataFields count="1">
    <dataField name="Count of Shipment_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arehouse_ID" sourceName="Warehouse_ID">
  <pivotTables>
    <pivotTable tabId="9" name="PivotTable1"/>
  </pivotTables>
  <data>
    <tabular pivotCacheId="1">
      <items count="5">
        <i x="4" s="1"/>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livery_Status" sourceName="Delivery_Status">
  <pivotTables>
    <pivotTable tabId="9"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lay_Category" sourceName="Delay_Category">
  <pivotTables>
    <pivotTable tabId="9" name="PivotTable1"/>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rrier_ID" sourceName="Carrier_ID">
  <pivotTables>
    <pivotTable tabId="9" name="PivotTable1"/>
  </pivotTables>
  <data>
    <tabular pivotCacheId="1">
      <items count="6">
        <i x="4" s="1"/>
        <i x="5"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arehouse" cache="Slicer_Warehouse_ID" caption="Warehouse" style="SlicerStyleLight6" rowHeight="241300"/>
  <slicer name="Delivery_Status" cache="Slicer_Delivery_Status" caption="Delivery_Status" style="SlicerStyleLight2" rowHeight="241300"/>
  <slicer name="Delay_Category" cache="Slicer_Delay_Category" caption="Delay_Category" style="SlicerStyleLight3" rowHeight="241300"/>
  <slicer name="Carrier_ID" cache="Slicer_Carrier_ID" caption="Carrier" rowHeight="241300"/>
</slicers>
</file>

<file path=xl/tables/table1.xml><?xml version="1.0" encoding="utf-8"?>
<table xmlns="http://schemas.openxmlformats.org/spreadsheetml/2006/main" id="1" name="Table1" displayName="Table1" ref="A1:K321" totalsRowShown="0">
  <autoFilter ref="A1:K321"/>
  <tableColumns count="11">
    <tableColumn id="1" name="Shipment_ID"/>
    <tableColumn id="2" name="Order_ID"/>
    <tableColumn id="3" name="Warehouse_ID"/>
    <tableColumn id="4" name="Carrier_ID"/>
    <tableColumn id="5" name="Route_ID"/>
    <tableColumn id="6" name="Dispatch_Date">
      <calculatedColumnFormula>VLOOKUP(B2, Orders!A:E, 3, FALSE) + RANDBETWEEN(0,2)</calculatedColumnFormula>
    </tableColumn>
    <tableColumn id="7" name="Planned_Delivery_Date">
      <calculatedColumnFormula>F2+VLOOKUP(E2,Routes!A:D,4,FALSE)</calculatedColumnFormula>
    </tableColumn>
    <tableColumn id="8" name="Actual_Delivery_Date">
      <calculatedColumnFormula>G2+IF(RAND()&lt;0.3,RANDBETWEEN(1,5),0)</calculatedColumnFormula>
    </tableColumn>
    <tableColumn id="9" name="Delay_Days">
      <calculatedColumnFormula>H2-G2</calculatedColumnFormula>
    </tableColumn>
    <tableColumn id="10" name="Delivery_Status">
      <calculatedColumnFormula>IF(I2&gt;0,"Late", "On Time")</calculatedColumnFormula>
    </tableColumn>
    <tableColumn id="11" name="Delay_Category">
      <calculatedColumnFormula>IF(I2&lt;=0, "On Time",  IF(I2&lt;=2, "Minor Delay", "Major Delay"))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selection activeCell="B1" sqref="B1"/>
    </sheetView>
  </sheetViews>
  <sheetFormatPr defaultRowHeight="15" x14ac:dyDescent="0.25"/>
  <cols>
    <col min="1" max="1" width="19.140625" customWidth="1"/>
    <col min="2" max="2" width="30.42578125" customWidth="1"/>
    <col min="3" max="3" width="22.5703125" customWidth="1"/>
    <col min="4" max="4" width="20.28515625"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6</v>
      </c>
      <c r="D4" t="s">
        <v>14</v>
      </c>
    </row>
    <row r="5" spans="1:4" x14ac:dyDescent="0.25">
      <c r="A5" t="s">
        <v>15</v>
      </c>
      <c r="B5" t="s">
        <v>16</v>
      </c>
      <c r="C5" t="s">
        <v>17</v>
      </c>
      <c r="D5" t="s">
        <v>11</v>
      </c>
    </row>
    <row r="6" spans="1:4" x14ac:dyDescent="0.25">
      <c r="A6" t="s">
        <v>18</v>
      </c>
      <c r="B6" t="s">
        <v>19</v>
      </c>
      <c r="C6" t="s">
        <v>20</v>
      </c>
      <c r="D6" t="s">
        <v>11</v>
      </c>
    </row>
    <row r="7" spans="1:4" x14ac:dyDescent="0.25">
      <c r="A7" t="s">
        <v>21</v>
      </c>
      <c r="B7" t="s">
        <v>22</v>
      </c>
      <c r="C7" t="s">
        <v>23</v>
      </c>
      <c r="D7" t="s">
        <v>11</v>
      </c>
    </row>
    <row r="8" spans="1:4" x14ac:dyDescent="0.25">
      <c r="A8" t="s">
        <v>24</v>
      </c>
      <c r="B8" t="s">
        <v>25</v>
      </c>
      <c r="C8" t="s">
        <v>26</v>
      </c>
      <c r="D8" t="s">
        <v>7</v>
      </c>
    </row>
    <row r="9" spans="1:4" x14ac:dyDescent="0.25">
      <c r="A9" t="s">
        <v>27</v>
      </c>
      <c r="B9" t="s">
        <v>28</v>
      </c>
      <c r="C9" t="s">
        <v>29</v>
      </c>
      <c r="D9" t="s">
        <v>11</v>
      </c>
    </row>
    <row r="10" spans="1:4" x14ac:dyDescent="0.25">
      <c r="A10" t="s">
        <v>30</v>
      </c>
      <c r="B10" t="s">
        <v>31</v>
      </c>
      <c r="C10" t="s">
        <v>17</v>
      </c>
      <c r="D10" t="s">
        <v>11</v>
      </c>
    </row>
    <row r="11" spans="1:4" x14ac:dyDescent="0.25">
      <c r="A11" t="s">
        <v>32</v>
      </c>
      <c r="B11" t="s">
        <v>33</v>
      </c>
      <c r="C11" t="s">
        <v>17</v>
      </c>
      <c r="D11" t="s">
        <v>11</v>
      </c>
    </row>
    <row r="12" spans="1:4" x14ac:dyDescent="0.25">
      <c r="A12" t="s">
        <v>34</v>
      </c>
      <c r="B12" t="s">
        <v>35</v>
      </c>
      <c r="C12" t="s">
        <v>17</v>
      </c>
      <c r="D12" t="s">
        <v>11</v>
      </c>
    </row>
    <row r="13" spans="1:4" x14ac:dyDescent="0.25">
      <c r="A13" t="s">
        <v>36</v>
      </c>
      <c r="B13" t="s">
        <v>37</v>
      </c>
      <c r="C13" t="s">
        <v>6</v>
      </c>
      <c r="D13" t="s">
        <v>14</v>
      </c>
    </row>
    <row r="14" spans="1:4" x14ac:dyDescent="0.25">
      <c r="A14" t="s">
        <v>38</v>
      </c>
      <c r="B14" t="s">
        <v>39</v>
      </c>
      <c r="C14" t="s">
        <v>17</v>
      </c>
      <c r="D14" t="s">
        <v>7</v>
      </c>
    </row>
    <row r="15" spans="1:4" x14ac:dyDescent="0.25">
      <c r="A15" t="s">
        <v>40</v>
      </c>
      <c r="B15" t="s">
        <v>41</v>
      </c>
      <c r="C15" t="s">
        <v>42</v>
      </c>
      <c r="D15" t="s">
        <v>11</v>
      </c>
    </row>
    <row r="16" spans="1:4" x14ac:dyDescent="0.25">
      <c r="A16" t="s">
        <v>43</v>
      </c>
      <c r="B16" t="s">
        <v>44</v>
      </c>
      <c r="C16" t="s">
        <v>45</v>
      </c>
      <c r="D16" t="s">
        <v>11</v>
      </c>
    </row>
    <row r="17" spans="1:4" x14ac:dyDescent="0.25">
      <c r="A17" t="s">
        <v>46</v>
      </c>
      <c r="B17" t="s">
        <v>47</v>
      </c>
      <c r="C17" t="s">
        <v>17</v>
      </c>
      <c r="D17" t="s">
        <v>7</v>
      </c>
    </row>
    <row r="18" spans="1:4" x14ac:dyDescent="0.25">
      <c r="A18" t="s">
        <v>48</v>
      </c>
      <c r="B18" t="s">
        <v>49</v>
      </c>
      <c r="C18" t="s">
        <v>17</v>
      </c>
      <c r="D18" t="s">
        <v>7</v>
      </c>
    </row>
    <row r="19" spans="1:4" x14ac:dyDescent="0.25">
      <c r="A19" t="s">
        <v>50</v>
      </c>
      <c r="B19" t="s">
        <v>51</v>
      </c>
      <c r="C19" t="s">
        <v>29</v>
      </c>
      <c r="D19" t="s">
        <v>11</v>
      </c>
    </row>
    <row r="20" spans="1:4" x14ac:dyDescent="0.25">
      <c r="A20" t="s">
        <v>52</v>
      </c>
      <c r="B20" t="s">
        <v>53</v>
      </c>
      <c r="C20" t="s">
        <v>26</v>
      </c>
      <c r="D20" t="s">
        <v>11</v>
      </c>
    </row>
    <row r="21" spans="1:4" x14ac:dyDescent="0.25">
      <c r="A21" t="s">
        <v>54</v>
      </c>
      <c r="B21" t="s">
        <v>55</v>
      </c>
      <c r="C21" t="s">
        <v>17</v>
      </c>
      <c r="D21" t="s">
        <v>7</v>
      </c>
    </row>
    <row r="22" spans="1:4" x14ac:dyDescent="0.25">
      <c r="A22" t="s">
        <v>56</v>
      </c>
      <c r="B22" t="s">
        <v>57</v>
      </c>
      <c r="C22" t="s">
        <v>6</v>
      </c>
      <c r="D22" t="s">
        <v>11</v>
      </c>
    </row>
    <row r="23" spans="1:4" x14ac:dyDescent="0.25">
      <c r="A23" t="s">
        <v>58</v>
      </c>
      <c r="B23" t="s">
        <v>59</v>
      </c>
      <c r="C23" t="s">
        <v>29</v>
      </c>
      <c r="D23" t="s">
        <v>14</v>
      </c>
    </row>
    <row r="24" spans="1:4" x14ac:dyDescent="0.25">
      <c r="A24" t="s">
        <v>60</v>
      </c>
      <c r="B24" t="s">
        <v>61</v>
      </c>
      <c r="C24" t="s">
        <v>62</v>
      </c>
      <c r="D24" t="s">
        <v>14</v>
      </c>
    </row>
    <row r="25" spans="1:4" x14ac:dyDescent="0.25">
      <c r="A25" t="s">
        <v>63</v>
      </c>
      <c r="B25" t="s">
        <v>64</v>
      </c>
      <c r="C25" t="s">
        <v>42</v>
      </c>
      <c r="D25" t="s">
        <v>11</v>
      </c>
    </row>
    <row r="26" spans="1:4" x14ac:dyDescent="0.25">
      <c r="A26" t="s">
        <v>65</v>
      </c>
      <c r="B26" t="s">
        <v>66</v>
      </c>
      <c r="C26" t="s">
        <v>42</v>
      </c>
      <c r="D26" t="s">
        <v>11</v>
      </c>
    </row>
    <row r="27" spans="1:4" x14ac:dyDescent="0.25">
      <c r="A27" t="s">
        <v>67</v>
      </c>
      <c r="B27" t="s">
        <v>68</v>
      </c>
      <c r="C27" t="s">
        <v>6</v>
      </c>
      <c r="D27" t="s">
        <v>11</v>
      </c>
    </row>
    <row r="28" spans="1:4" x14ac:dyDescent="0.25">
      <c r="A28" t="s">
        <v>69</v>
      </c>
      <c r="B28" t="s">
        <v>70</v>
      </c>
      <c r="C28" t="s">
        <v>17</v>
      </c>
      <c r="D28" t="s">
        <v>11</v>
      </c>
    </row>
    <row r="29" spans="1:4" x14ac:dyDescent="0.25">
      <c r="A29" t="s">
        <v>71</v>
      </c>
      <c r="B29" t="s">
        <v>72</v>
      </c>
      <c r="C29" t="s">
        <v>17</v>
      </c>
      <c r="D29" t="s">
        <v>11</v>
      </c>
    </row>
    <row r="30" spans="1:4" x14ac:dyDescent="0.25">
      <c r="A30" t="s">
        <v>73</v>
      </c>
      <c r="B30" t="s">
        <v>74</v>
      </c>
      <c r="C30" t="s">
        <v>17</v>
      </c>
      <c r="D30" t="s">
        <v>11</v>
      </c>
    </row>
    <row r="31" spans="1:4" x14ac:dyDescent="0.25">
      <c r="A31" t="s">
        <v>75</v>
      </c>
      <c r="B31" t="s">
        <v>76</v>
      </c>
      <c r="C31" t="s">
        <v>77</v>
      </c>
      <c r="D31" t="s">
        <v>11</v>
      </c>
    </row>
    <row r="32" spans="1:4" x14ac:dyDescent="0.25">
      <c r="A32" t="s">
        <v>78</v>
      </c>
      <c r="B32" t="s">
        <v>79</v>
      </c>
      <c r="C32" t="s">
        <v>42</v>
      </c>
      <c r="D32" t="s">
        <v>7</v>
      </c>
    </row>
    <row r="33" spans="1:4" x14ac:dyDescent="0.25">
      <c r="A33" t="s">
        <v>80</v>
      </c>
      <c r="B33" t="s">
        <v>81</v>
      </c>
      <c r="C33" t="s">
        <v>20</v>
      </c>
      <c r="D33" t="s">
        <v>14</v>
      </c>
    </row>
    <row r="34" spans="1:4" x14ac:dyDescent="0.25">
      <c r="A34" t="s">
        <v>82</v>
      </c>
      <c r="B34" t="s">
        <v>83</v>
      </c>
      <c r="C34" t="s">
        <v>6</v>
      </c>
      <c r="D34" t="s">
        <v>7</v>
      </c>
    </row>
    <row r="35" spans="1:4" x14ac:dyDescent="0.25">
      <c r="A35" t="s">
        <v>84</v>
      </c>
      <c r="B35" t="s">
        <v>85</v>
      </c>
      <c r="C35" t="s">
        <v>86</v>
      </c>
      <c r="D35" t="s">
        <v>7</v>
      </c>
    </row>
    <row r="36" spans="1:4" x14ac:dyDescent="0.25">
      <c r="A36" t="s">
        <v>87</v>
      </c>
      <c r="B36" t="s">
        <v>88</v>
      </c>
      <c r="C36" t="s">
        <v>17</v>
      </c>
      <c r="D36" t="s">
        <v>11</v>
      </c>
    </row>
    <row r="37" spans="1:4" x14ac:dyDescent="0.25">
      <c r="A37" t="s">
        <v>89</v>
      </c>
      <c r="B37" t="s">
        <v>90</v>
      </c>
      <c r="C37" t="s">
        <v>42</v>
      </c>
      <c r="D37" t="s">
        <v>11</v>
      </c>
    </row>
    <row r="38" spans="1:4" x14ac:dyDescent="0.25">
      <c r="A38" t="s">
        <v>91</v>
      </c>
      <c r="B38" t="s">
        <v>92</v>
      </c>
      <c r="C38" t="s">
        <v>23</v>
      </c>
      <c r="D38" t="s">
        <v>11</v>
      </c>
    </row>
    <row r="39" spans="1:4" x14ac:dyDescent="0.25">
      <c r="A39" t="s">
        <v>93</v>
      </c>
      <c r="B39" t="s">
        <v>94</v>
      </c>
      <c r="C39" t="s">
        <v>17</v>
      </c>
      <c r="D39" t="s">
        <v>7</v>
      </c>
    </row>
    <row r="40" spans="1:4" x14ac:dyDescent="0.25">
      <c r="A40" t="s">
        <v>95</v>
      </c>
      <c r="B40" t="s">
        <v>96</v>
      </c>
      <c r="C40" t="s">
        <v>17</v>
      </c>
      <c r="D40" t="s">
        <v>7</v>
      </c>
    </row>
    <row r="41" spans="1:4" x14ac:dyDescent="0.25">
      <c r="A41" t="s">
        <v>97</v>
      </c>
      <c r="B41" t="s">
        <v>98</v>
      </c>
      <c r="C41" t="s">
        <v>45</v>
      </c>
      <c r="D41" t="s">
        <v>11</v>
      </c>
    </row>
    <row r="42" spans="1:4" x14ac:dyDescent="0.25">
      <c r="A42" t="s">
        <v>99</v>
      </c>
      <c r="B42" t="s">
        <v>100</v>
      </c>
      <c r="C42" t="s">
        <v>86</v>
      </c>
      <c r="D42" t="s">
        <v>11</v>
      </c>
    </row>
    <row r="43" spans="1:4" x14ac:dyDescent="0.25">
      <c r="A43" t="s">
        <v>101</v>
      </c>
      <c r="B43" t="s">
        <v>102</v>
      </c>
      <c r="C43" t="s">
        <v>103</v>
      </c>
      <c r="D43" t="s">
        <v>11</v>
      </c>
    </row>
    <row r="44" spans="1:4" x14ac:dyDescent="0.25">
      <c r="A44" t="s">
        <v>104</v>
      </c>
      <c r="B44" t="s">
        <v>105</v>
      </c>
      <c r="C44" t="s">
        <v>45</v>
      </c>
      <c r="D44" t="s">
        <v>7</v>
      </c>
    </row>
    <row r="45" spans="1:4" x14ac:dyDescent="0.25">
      <c r="A45" t="s">
        <v>106</v>
      </c>
      <c r="B45" t="s">
        <v>107</v>
      </c>
      <c r="C45" t="s">
        <v>6</v>
      </c>
      <c r="D45" t="s">
        <v>11</v>
      </c>
    </row>
    <row r="46" spans="1:4" x14ac:dyDescent="0.25">
      <c r="A46" t="s">
        <v>108</v>
      </c>
      <c r="B46" t="s">
        <v>109</v>
      </c>
      <c r="C46" t="s">
        <v>42</v>
      </c>
      <c r="D46" t="s">
        <v>7</v>
      </c>
    </row>
    <row r="47" spans="1:4" x14ac:dyDescent="0.25">
      <c r="A47" t="s">
        <v>110</v>
      </c>
      <c r="B47" t="s">
        <v>111</v>
      </c>
      <c r="C47" t="s">
        <v>77</v>
      </c>
      <c r="D47" t="s">
        <v>11</v>
      </c>
    </row>
    <row r="48" spans="1:4" x14ac:dyDescent="0.25">
      <c r="A48" t="s">
        <v>112</v>
      </c>
      <c r="B48" t="s">
        <v>113</v>
      </c>
      <c r="C48" t="s">
        <v>77</v>
      </c>
      <c r="D48" t="s">
        <v>14</v>
      </c>
    </row>
    <row r="49" spans="1:4" x14ac:dyDescent="0.25">
      <c r="A49" t="s">
        <v>114</v>
      </c>
      <c r="B49" t="s">
        <v>115</v>
      </c>
      <c r="C49" t="s">
        <v>42</v>
      </c>
      <c r="D49" t="s">
        <v>7</v>
      </c>
    </row>
    <row r="50" spans="1:4" x14ac:dyDescent="0.25">
      <c r="A50" t="s">
        <v>116</v>
      </c>
      <c r="B50" t="s">
        <v>117</v>
      </c>
      <c r="C50" t="s">
        <v>17</v>
      </c>
      <c r="D50" t="s">
        <v>11</v>
      </c>
    </row>
    <row r="51" spans="1:4" x14ac:dyDescent="0.25">
      <c r="A51" t="s">
        <v>118</v>
      </c>
      <c r="B51" t="s">
        <v>119</v>
      </c>
      <c r="C51" t="s">
        <v>42</v>
      </c>
      <c r="D51" t="s">
        <v>7</v>
      </c>
    </row>
    <row r="52" spans="1:4" x14ac:dyDescent="0.25">
      <c r="A52" t="s">
        <v>120</v>
      </c>
      <c r="B52" t="s">
        <v>121</v>
      </c>
      <c r="C52" t="s">
        <v>42</v>
      </c>
      <c r="D52" t="s">
        <v>7</v>
      </c>
    </row>
    <row r="53" spans="1:4" x14ac:dyDescent="0.25">
      <c r="A53" t="s">
        <v>122</v>
      </c>
      <c r="B53" t="s">
        <v>123</v>
      </c>
      <c r="C53" t="s">
        <v>10</v>
      </c>
      <c r="D53" t="s">
        <v>7</v>
      </c>
    </row>
    <row r="54" spans="1:4" x14ac:dyDescent="0.25">
      <c r="A54" t="s">
        <v>124</v>
      </c>
      <c r="B54" t="s">
        <v>125</v>
      </c>
      <c r="C54" t="s">
        <v>23</v>
      </c>
      <c r="D54" t="s">
        <v>11</v>
      </c>
    </row>
    <row r="55" spans="1:4" x14ac:dyDescent="0.25">
      <c r="A55" t="s">
        <v>126</v>
      </c>
      <c r="B55" t="s">
        <v>127</v>
      </c>
      <c r="C55" t="s">
        <v>45</v>
      </c>
      <c r="D55" t="s">
        <v>14</v>
      </c>
    </row>
    <row r="56" spans="1:4" x14ac:dyDescent="0.25">
      <c r="A56" t="s">
        <v>128</v>
      </c>
      <c r="B56" t="s">
        <v>129</v>
      </c>
      <c r="C56" t="s">
        <v>42</v>
      </c>
      <c r="D56"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opLeftCell="A26" workbookViewId="0"/>
  </sheetViews>
  <sheetFormatPr defaultRowHeight="15" x14ac:dyDescent="0.25"/>
  <cols>
    <col min="1" max="1" width="14.42578125" customWidth="1"/>
    <col min="2" max="2" width="13.5703125" customWidth="1"/>
    <col min="3" max="3" width="27.5703125" customWidth="1"/>
    <col min="4" max="4" width="16.42578125" customWidth="1"/>
  </cols>
  <sheetData>
    <row r="1" spans="1:4" x14ac:dyDescent="0.25">
      <c r="A1" t="s">
        <v>130</v>
      </c>
      <c r="B1" t="s">
        <v>131</v>
      </c>
      <c r="C1" t="s">
        <v>132</v>
      </c>
      <c r="D1" t="s">
        <v>133</v>
      </c>
    </row>
    <row r="2" spans="1:4" x14ac:dyDescent="0.25">
      <c r="A2" t="s">
        <v>134</v>
      </c>
      <c r="B2" t="s">
        <v>135</v>
      </c>
      <c r="C2" t="s">
        <v>136</v>
      </c>
      <c r="D2" t="s">
        <v>137</v>
      </c>
    </row>
    <row r="3" spans="1:4" x14ac:dyDescent="0.25">
      <c r="A3" t="s">
        <v>138</v>
      </c>
      <c r="B3" t="s">
        <v>135</v>
      </c>
      <c r="C3" t="s">
        <v>136</v>
      </c>
      <c r="D3" t="s">
        <v>139</v>
      </c>
    </row>
    <row r="4" spans="1:4" x14ac:dyDescent="0.25">
      <c r="A4" t="s">
        <v>140</v>
      </c>
      <c r="B4" t="s">
        <v>135</v>
      </c>
      <c r="C4" t="s">
        <v>136</v>
      </c>
      <c r="D4" t="s">
        <v>139</v>
      </c>
    </row>
    <row r="5" spans="1:4" x14ac:dyDescent="0.25">
      <c r="A5" t="s">
        <v>141</v>
      </c>
      <c r="B5" t="s">
        <v>135</v>
      </c>
      <c r="C5" t="s">
        <v>136</v>
      </c>
      <c r="D5" t="s">
        <v>137</v>
      </c>
    </row>
    <row r="6" spans="1:4" x14ac:dyDescent="0.25">
      <c r="A6" t="s">
        <v>142</v>
      </c>
      <c r="B6" t="s">
        <v>135</v>
      </c>
      <c r="C6" t="s">
        <v>136</v>
      </c>
      <c r="D6" t="s">
        <v>137</v>
      </c>
    </row>
    <row r="7" spans="1:4" x14ac:dyDescent="0.25">
      <c r="A7" t="s">
        <v>143</v>
      </c>
      <c r="B7" t="s">
        <v>135</v>
      </c>
      <c r="C7" t="s">
        <v>136</v>
      </c>
      <c r="D7" t="s">
        <v>137</v>
      </c>
    </row>
    <row r="8" spans="1:4" x14ac:dyDescent="0.25">
      <c r="A8" t="s">
        <v>144</v>
      </c>
      <c r="B8" t="s">
        <v>135</v>
      </c>
      <c r="C8" t="s">
        <v>136</v>
      </c>
      <c r="D8" t="s">
        <v>145</v>
      </c>
    </row>
    <row r="9" spans="1:4" x14ac:dyDescent="0.25">
      <c r="A9" t="s">
        <v>146</v>
      </c>
      <c r="B9" t="s">
        <v>135</v>
      </c>
      <c r="C9" t="s">
        <v>136</v>
      </c>
      <c r="D9" t="s">
        <v>139</v>
      </c>
    </row>
    <row r="10" spans="1:4" x14ac:dyDescent="0.25">
      <c r="A10" t="s">
        <v>147</v>
      </c>
      <c r="B10" t="s">
        <v>148</v>
      </c>
      <c r="C10" t="s">
        <v>149</v>
      </c>
      <c r="D10" t="s">
        <v>145</v>
      </c>
    </row>
    <row r="11" spans="1:4" x14ac:dyDescent="0.25">
      <c r="A11" t="s">
        <v>150</v>
      </c>
      <c r="B11" t="s">
        <v>148</v>
      </c>
      <c r="C11" t="s">
        <v>149</v>
      </c>
      <c r="D11" t="s">
        <v>145</v>
      </c>
    </row>
    <row r="12" spans="1:4" x14ac:dyDescent="0.25">
      <c r="A12" t="s">
        <v>151</v>
      </c>
      <c r="B12" t="s">
        <v>148</v>
      </c>
      <c r="C12" t="s">
        <v>149</v>
      </c>
      <c r="D12" t="s">
        <v>139</v>
      </c>
    </row>
    <row r="13" spans="1:4" x14ac:dyDescent="0.25">
      <c r="A13" t="s">
        <v>152</v>
      </c>
      <c r="B13" t="s">
        <v>148</v>
      </c>
      <c r="C13" t="s">
        <v>149</v>
      </c>
      <c r="D13" t="s">
        <v>137</v>
      </c>
    </row>
    <row r="14" spans="1:4" x14ac:dyDescent="0.25">
      <c r="A14" t="s">
        <v>153</v>
      </c>
      <c r="B14" t="s">
        <v>148</v>
      </c>
      <c r="C14" t="s">
        <v>149</v>
      </c>
      <c r="D14" t="s">
        <v>139</v>
      </c>
    </row>
    <row r="15" spans="1:4" x14ac:dyDescent="0.25">
      <c r="A15" t="s">
        <v>154</v>
      </c>
      <c r="B15" t="s">
        <v>148</v>
      </c>
      <c r="C15" t="s">
        <v>149</v>
      </c>
      <c r="D15" t="s">
        <v>145</v>
      </c>
    </row>
    <row r="16" spans="1:4" x14ac:dyDescent="0.25">
      <c r="A16" t="s">
        <v>155</v>
      </c>
      <c r="B16" t="s">
        <v>148</v>
      </c>
      <c r="C16" t="s">
        <v>149</v>
      </c>
      <c r="D16" t="s">
        <v>137</v>
      </c>
    </row>
    <row r="17" spans="1:4" x14ac:dyDescent="0.25">
      <c r="A17" t="s">
        <v>156</v>
      </c>
      <c r="B17" t="s">
        <v>148</v>
      </c>
      <c r="C17" t="s">
        <v>149</v>
      </c>
      <c r="D17" t="s">
        <v>139</v>
      </c>
    </row>
    <row r="18" spans="1:4" x14ac:dyDescent="0.25">
      <c r="A18" t="s">
        <v>157</v>
      </c>
      <c r="B18" t="s">
        <v>158</v>
      </c>
      <c r="C18" t="s">
        <v>159</v>
      </c>
      <c r="D18" t="s">
        <v>137</v>
      </c>
    </row>
    <row r="19" spans="1:4" x14ac:dyDescent="0.25">
      <c r="A19" t="s">
        <v>160</v>
      </c>
      <c r="B19" t="s">
        <v>158</v>
      </c>
      <c r="C19" t="s">
        <v>159</v>
      </c>
      <c r="D19" t="s">
        <v>139</v>
      </c>
    </row>
    <row r="20" spans="1:4" x14ac:dyDescent="0.25">
      <c r="A20" t="s">
        <v>161</v>
      </c>
      <c r="B20" t="s">
        <v>158</v>
      </c>
      <c r="C20" t="s">
        <v>159</v>
      </c>
      <c r="D20" t="s">
        <v>139</v>
      </c>
    </row>
    <row r="21" spans="1:4" x14ac:dyDescent="0.25">
      <c r="A21" t="s">
        <v>162</v>
      </c>
      <c r="B21" t="s">
        <v>158</v>
      </c>
      <c r="C21" t="s">
        <v>159</v>
      </c>
      <c r="D21" t="s">
        <v>145</v>
      </c>
    </row>
    <row r="22" spans="1:4" x14ac:dyDescent="0.25">
      <c r="A22" t="s">
        <v>163</v>
      </c>
      <c r="B22" t="s">
        <v>158</v>
      </c>
      <c r="C22" t="s">
        <v>159</v>
      </c>
      <c r="D22" t="s">
        <v>145</v>
      </c>
    </row>
    <row r="23" spans="1:4" x14ac:dyDescent="0.25">
      <c r="A23" t="s">
        <v>164</v>
      </c>
      <c r="B23" t="s">
        <v>158</v>
      </c>
      <c r="C23" t="s">
        <v>159</v>
      </c>
      <c r="D23" t="s">
        <v>137</v>
      </c>
    </row>
    <row r="24" spans="1:4" x14ac:dyDescent="0.25">
      <c r="A24" t="s">
        <v>165</v>
      </c>
      <c r="B24" t="s">
        <v>166</v>
      </c>
      <c r="C24" t="s">
        <v>167</v>
      </c>
      <c r="D24" t="s">
        <v>139</v>
      </c>
    </row>
    <row r="25" spans="1:4" x14ac:dyDescent="0.25">
      <c r="A25" t="s">
        <v>168</v>
      </c>
      <c r="B25" t="s">
        <v>166</v>
      </c>
      <c r="C25" t="s">
        <v>167</v>
      </c>
      <c r="D25" t="s">
        <v>137</v>
      </c>
    </row>
    <row r="26" spans="1:4" x14ac:dyDescent="0.25">
      <c r="A26" t="s">
        <v>169</v>
      </c>
      <c r="B26" t="s">
        <v>166</v>
      </c>
      <c r="C26" t="s">
        <v>167</v>
      </c>
      <c r="D26" t="s">
        <v>137</v>
      </c>
    </row>
    <row r="27" spans="1:4" x14ac:dyDescent="0.25">
      <c r="A27" t="s">
        <v>170</v>
      </c>
      <c r="B27" t="s">
        <v>166</v>
      </c>
      <c r="C27" t="s">
        <v>167</v>
      </c>
      <c r="D27" t="s">
        <v>137</v>
      </c>
    </row>
    <row r="28" spans="1:4" x14ac:dyDescent="0.25">
      <c r="A28" t="s">
        <v>171</v>
      </c>
      <c r="B28" t="s">
        <v>166</v>
      </c>
      <c r="C28" t="s">
        <v>167</v>
      </c>
      <c r="D28" t="s">
        <v>145</v>
      </c>
    </row>
    <row r="29" spans="1:4" x14ac:dyDescent="0.25">
      <c r="A29" t="s">
        <v>172</v>
      </c>
      <c r="B29" t="s">
        <v>166</v>
      </c>
      <c r="C29" t="s">
        <v>167</v>
      </c>
      <c r="D29" t="s">
        <v>137</v>
      </c>
    </row>
    <row r="30" spans="1:4" x14ac:dyDescent="0.25">
      <c r="A30" t="s">
        <v>173</v>
      </c>
      <c r="B30" t="s">
        <v>174</v>
      </c>
      <c r="C30" t="s">
        <v>167</v>
      </c>
      <c r="D30" t="s">
        <v>139</v>
      </c>
    </row>
    <row r="31" spans="1:4" x14ac:dyDescent="0.25">
      <c r="A31" t="s">
        <v>175</v>
      </c>
      <c r="B31" t="s">
        <v>174</v>
      </c>
      <c r="C31" t="s">
        <v>167</v>
      </c>
      <c r="D31" t="s">
        <v>137</v>
      </c>
    </row>
    <row r="32" spans="1:4" x14ac:dyDescent="0.25">
      <c r="A32" t="s">
        <v>176</v>
      </c>
      <c r="B32" t="s">
        <v>174</v>
      </c>
      <c r="C32" t="s">
        <v>167</v>
      </c>
      <c r="D32" t="s">
        <v>137</v>
      </c>
    </row>
    <row r="33" spans="1:4" x14ac:dyDescent="0.25">
      <c r="A33" t="s">
        <v>177</v>
      </c>
      <c r="B33" t="s">
        <v>174</v>
      </c>
      <c r="C33" t="s">
        <v>167</v>
      </c>
      <c r="D33" t="s">
        <v>137</v>
      </c>
    </row>
    <row r="34" spans="1:4" x14ac:dyDescent="0.25">
      <c r="A34" t="s">
        <v>178</v>
      </c>
      <c r="B34" t="s">
        <v>179</v>
      </c>
      <c r="C34" t="s">
        <v>159</v>
      </c>
      <c r="D34" t="s">
        <v>137</v>
      </c>
    </row>
    <row r="35" spans="1:4" x14ac:dyDescent="0.25">
      <c r="A35" t="s">
        <v>180</v>
      </c>
      <c r="B35" t="s">
        <v>179</v>
      </c>
      <c r="C35" t="s">
        <v>159</v>
      </c>
      <c r="D35" t="s">
        <v>137</v>
      </c>
    </row>
    <row r="36" spans="1:4" x14ac:dyDescent="0.25">
      <c r="A36" t="s">
        <v>181</v>
      </c>
      <c r="B36" t="s">
        <v>179</v>
      </c>
      <c r="C36" t="s">
        <v>159</v>
      </c>
      <c r="D36" t="s">
        <v>137</v>
      </c>
    </row>
    <row r="37" spans="1:4" x14ac:dyDescent="0.25">
      <c r="A37" t="s">
        <v>182</v>
      </c>
      <c r="B37" t="s">
        <v>179</v>
      </c>
      <c r="C37" t="s">
        <v>159</v>
      </c>
      <c r="D37" t="s">
        <v>145</v>
      </c>
    </row>
    <row r="38" spans="1:4" x14ac:dyDescent="0.25">
      <c r="A38" t="s">
        <v>183</v>
      </c>
      <c r="B38" t="s">
        <v>179</v>
      </c>
      <c r="C38" t="s">
        <v>159</v>
      </c>
      <c r="D38" t="s">
        <v>139</v>
      </c>
    </row>
    <row r="39" spans="1:4" x14ac:dyDescent="0.25">
      <c r="A39" t="s">
        <v>184</v>
      </c>
      <c r="B39" t="s">
        <v>179</v>
      </c>
      <c r="C39" t="s">
        <v>159</v>
      </c>
      <c r="D39" t="s">
        <v>137</v>
      </c>
    </row>
    <row r="40" spans="1:4" x14ac:dyDescent="0.25">
      <c r="A40" t="s">
        <v>185</v>
      </c>
      <c r="B40" t="s">
        <v>179</v>
      </c>
      <c r="C40" t="s">
        <v>159</v>
      </c>
      <c r="D40" t="s">
        <v>137</v>
      </c>
    </row>
    <row r="41" spans="1:4" x14ac:dyDescent="0.25">
      <c r="A41" t="s">
        <v>186</v>
      </c>
      <c r="B41" t="s">
        <v>179</v>
      </c>
      <c r="C41" t="s">
        <v>159</v>
      </c>
      <c r="D41" t="s">
        <v>145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B7" sqref="B7"/>
    </sheetView>
  </sheetViews>
  <sheetFormatPr defaultRowHeight="15" x14ac:dyDescent="0.25"/>
  <cols>
    <col min="1" max="1" width="15.140625" customWidth="1"/>
    <col min="2" max="2" width="25.140625" customWidth="1"/>
    <col min="3" max="3" width="13" customWidth="1"/>
    <col min="4" max="4" width="13.140625" customWidth="1"/>
    <col min="5" max="5" width="16.7109375" customWidth="1"/>
  </cols>
  <sheetData>
    <row r="1" spans="1:5" x14ac:dyDescent="0.25">
      <c r="A1" t="s">
        <v>187</v>
      </c>
      <c r="B1" t="s">
        <v>188</v>
      </c>
      <c r="C1" t="s">
        <v>189</v>
      </c>
      <c r="D1" t="s">
        <v>190</v>
      </c>
      <c r="E1" t="s">
        <v>191</v>
      </c>
    </row>
    <row r="2" spans="1:5" x14ac:dyDescent="0.25">
      <c r="A2" t="s">
        <v>192</v>
      </c>
      <c r="B2" t="s">
        <v>193</v>
      </c>
      <c r="C2" t="s">
        <v>194</v>
      </c>
      <c r="D2" t="s">
        <v>195</v>
      </c>
      <c r="E2" t="s">
        <v>139</v>
      </c>
    </row>
    <row r="3" spans="1:5" x14ac:dyDescent="0.25">
      <c r="A3" t="s">
        <v>196</v>
      </c>
      <c r="B3" t="s">
        <v>197</v>
      </c>
      <c r="C3" t="s">
        <v>198</v>
      </c>
      <c r="D3" t="s">
        <v>199</v>
      </c>
      <c r="E3" t="s">
        <v>139</v>
      </c>
    </row>
    <row r="4" spans="1:5" x14ac:dyDescent="0.25">
      <c r="A4" t="s">
        <v>200</v>
      </c>
      <c r="B4" t="s">
        <v>201</v>
      </c>
      <c r="C4" t="s">
        <v>202</v>
      </c>
      <c r="D4" t="s">
        <v>136</v>
      </c>
      <c r="E4" t="s">
        <v>137</v>
      </c>
    </row>
    <row r="5" spans="1:5" x14ac:dyDescent="0.25">
      <c r="A5" t="s">
        <v>203</v>
      </c>
      <c r="B5" t="s">
        <v>204</v>
      </c>
      <c r="C5" t="s">
        <v>205</v>
      </c>
      <c r="D5" t="s">
        <v>159</v>
      </c>
      <c r="E5" t="s">
        <v>139</v>
      </c>
    </row>
    <row r="6" spans="1:5" x14ac:dyDescent="0.25">
      <c r="A6" t="s">
        <v>206</v>
      </c>
      <c r="B6" t="s">
        <v>207</v>
      </c>
      <c r="C6" t="s">
        <v>208</v>
      </c>
      <c r="D6" t="s">
        <v>199</v>
      </c>
      <c r="E6" t="s">
        <v>137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3" sqref="D3"/>
    </sheetView>
  </sheetViews>
  <sheetFormatPr defaultRowHeight="15" x14ac:dyDescent="0.25"/>
  <cols>
    <col min="1" max="1" width="13.7109375" customWidth="1"/>
    <col min="2" max="2" width="21.28515625" customWidth="1"/>
    <col min="3" max="3" width="15.28515625" customWidth="1"/>
    <col min="4" max="4" width="19" customWidth="1"/>
  </cols>
  <sheetData>
    <row r="1" spans="1:4" x14ac:dyDescent="0.25">
      <c r="A1" t="s">
        <v>209</v>
      </c>
      <c r="B1" t="s">
        <v>210</v>
      </c>
      <c r="C1" t="s">
        <v>211</v>
      </c>
      <c r="D1" t="s">
        <v>212</v>
      </c>
    </row>
    <row r="2" spans="1:4" x14ac:dyDescent="0.25">
      <c r="A2" t="s">
        <v>213</v>
      </c>
      <c r="B2" t="s">
        <v>214</v>
      </c>
      <c r="C2" t="s">
        <v>215</v>
      </c>
      <c r="D2" t="s">
        <v>216</v>
      </c>
    </row>
    <row r="3" spans="1:4" x14ac:dyDescent="0.25">
      <c r="A3" t="s">
        <v>217</v>
      </c>
      <c r="B3" t="s">
        <v>218</v>
      </c>
      <c r="C3" t="s">
        <v>215</v>
      </c>
      <c r="D3" t="s">
        <v>219</v>
      </c>
    </row>
    <row r="4" spans="1:4" x14ac:dyDescent="0.25">
      <c r="A4" t="s">
        <v>220</v>
      </c>
      <c r="B4" t="s">
        <v>221</v>
      </c>
      <c r="C4" t="s">
        <v>222</v>
      </c>
      <c r="D4" t="s">
        <v>219</v>
      </c>
    </row>
    <row r="5" spans="1:4" x14ac:dyDescent="0.25">
      <c r="A5" t="s">
        <v>223</v>
      </c>
      <c r="B5" t="s">
        <v>224</v>
      </c>
      <c r="C5" t="s">
        <v>225</v>
      </c>
      <c r="D5" t="s">
        <v>226</v>
      </c>
    </row>
    <row r="6" spans="1:4" x14ac:dyDescent="0.25">
      <c r="A6" t="s">
        <v>227</v>
      </c>
      <c r="B6" t="s">
        <v>228</v>
      </c>
      <c r="C6" t="s">
        <v>229</v>
      </c>
      <c r="D6" t="s">
        <v>216</v>
      </c>
    </row>
    <row r="7" spans="1:4" x14ac:dyDescent="0.25">
      <c r="A7" t="s">
        <v>230</v>
      </c>
      <c r="B7" t="s">
        <v>231</v>
      </c>
      <c r="C7" t="s">
        <v>232</v>
      </c>
      <c r="D7" t="s">
        <v>226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heetViews>
  <sheetFormatPr defaultRowHeight="15" x14ac:dyDescent="0.25"/>
  <cols>
    <col min="1" max="1" width="11.85546875" customWidth="1"/>
    <col min="2" max="2" width="15.5703125" customWidth="1"/>
    <col min="3" max="3" width="17.42578125" customWidth="1"/>
    <col min="4" max="4" width="22.85546875" customWidth="1"/>
  </cols>
  <sheetData>
    <row r="1" spans="1:4" x14ac:dyDescent="0.25">
      <c r="A1" t="s">
        <v>233</v>
      </c>
      <c r="B1" t="s">
        <v>234</v>
      </c>
      <c r="C1" t="s">
        <v>235</v>
      </c>
      <c r="D1" t="s">
        <v>236</v>
      </c>
    </row>
    <row r="2" spans="1:4" x14ac:dyDescent="0.25">
      <c r="A2" t="s">
        <v>237</v>
      </c>
      <c r="B2" t="s">
        <v>194</v>
      </c>
      <c r="C2" t="s">
        <v>238</v>
      </c>
      <c r="D2" t="s">
        <v>239</v>
      </c>
    </row>
    <row r="3" spans="1:4" x14ac:dyDescent="0.25">
      <c r="A3" t="s">
        <v>240</v>
      </c>
      <c r="B3" t="s">
        <v>194</v>
      </c>
      <c r="C3" t="s">
        <v>241</v>
      </c>
      <c r="D3" t="s">
        <v>219</v>
      </c>
    </row>
    <row r="4" spans="1:4" x14ac:dyDescent="0.25">
      <c r="A4" t="s">
        <v>242</v>
      </c>
      <c r="B4" t="s">
        <v>198</v>
      </c>
      <c r="C4" t="s">
        <v>243</v>
      </c>
      <c r="D4" t="s">
        <v>219</v>
      </c>
    </row>
    <row r="5" spans="1:4" x14ac:dyDescent="0.25">
      <c r="A5" t="s">
        <v>244</v>
      </c>
      <c r="B5" t="s">
        <v>198</v>
      </c>
      <c r="C5" t="s">
        <v>245</v>
      </c>
      <c r="D5" t="s">
        <v>226</v>
      </c>
    </row>
    <row r="6" spans="1:4" x14ac:dyDescent="0.25">
      <c r="A6" t="s">
        <v>246</v>
      </c>
      <c r="B6" t="s">
        <v>202</v>
      </c>
      <c r="C6" t="s">
        <v>194</v>
      </c>
      <c r="D6" t="s">
        <v>226</v>
      </c>
    </row>
    <row r="7" spans="1:4" x14ac:dyDescent="0.25">
      <c r="A7" t="s">
        <v>247</v>
      </c>
      <c r="B7" t="s">
        <v>202</v>
      </c>
      <c r="C7" t="s">
        <v>248</v>
      </c>
      <c r="D7" t="s">
        <v>219</v>
      </c>
    </row>
    <row r="8" spans="1:4" x14ac:dyDescent="0.25">
      <c r="A8" t="s">
        <v>249</v>
      </c>
      <c r="B8" t="s">
        <v>205</v>
      </c>
      <c r="C8" t="s">
        <v>250</v>
      </c>
      <c r="D8" t="s">
        <v>239</v>
      </c>
    </row>
    <row r="9" spans="1:4" x14ac:dyDescent="0.25">
      <c r="A9" t="s">
        <v>251</v>
      </c>
      <c r="B9" t="s">
        <v>205</v>
      </c>
      <c r="C9" t="s">
        <v>252</v>
      </c>
      <c r="D9" t="s">
        <v>219</v>
      </c>
    </row>
    <row r="10" spans="1:4" x14ac:dyDescent="0.25">
      <c r="A10" t="s">
        <v>253</v>
      </c>
      <c r="B10" t="s">
        <v>208</v>
      </c>
      <c r="C10" t="s">
        <v>254</v>
      </c>
      <c r="D10" t="s">
        <v>219</v>
      </c>
    </row>
    <row r="11" spans="1:4" x14ac:dyDescent="0.25">
      <c r="A11" t="s">
        <v>255</v>
      </c>
      <c r="B11" t="s">
        <v>208</v>
      </c>
      <c r="C11" t="s">
        <v>256</v>
      </c>
      <c r="D11" t="s">
        <v>226</v>
      </c>
    </row>
    <row r="12" spans="1:4" x14ac:dyDescent="0.25">
      <c r="A12" t="s">
        <v>257</v>
      </c>
      <c r="B12" t="s">
        <v>198</v>
      </c>
      <c r="C12" t="s">
        <v>258</v>
      </c>
      <c r="D12" t="s">
        <v>226</v>
      </c>
    </row>
    <row r="13" spans="1:4" x14ac:dyDescent="0.25">
      <c r="A13" t="s">
        <v>259</v>
      </c>
      <c r="B13" t="s">
        <v>194</v>
      </c>
      <c r="C13" t="s">
        <v>260</v>
      </c>
      <c r="D13" t="s">
        <v>239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1"/>
  <sheetViews>
    <sheetView workbookViewId="0">
      <selection activeCell="A2" sqref="A2"/>
    </sheetView>
  </sheetViews>
  <sheetFormatPr defaultRowHeight="15" x14ac:dyDescent="0.25"/>
  <cols>
    <col min="3" max="3" width="17.5703125" customWidth="1"/>
    <col min="4" max="4" width="30.5703125" customWidth="1"/>
    <col min="5" max="5" width="13.28515625" customWidth="1"/>
  </cols>
  <sheetData>
    <row r="1" spans="1:5" x14ac:dyDescent="0.25">
      <c r="A1" t="s">
        <v>261</v>
      </c>
      <c r="B1" t="s">
        <v>0</v>
      </c>
      <c r="C1" t="s">
        <v>262</v>
      </c>
      <c r="D1" t="s">
        <v>263</v>
      </c>
      <c r="E1" t="s">
        <v>264</v>
      </c>
    </row>
    <row r="2" spans="1:5" x14ac:dyDescent="0.25">
      <c r="A2" t="s">
        <v>265</v>
      </c>
      <c r="B2" t="s">
        <v>24</v>
      </c>
      <c r="C2" s="1">
        <v>45829</v>
      </c>
      <c r="D2" s="1">
        <v>45840</v>
      </c>
      <c r="E2" t="s">
        <v>139</v>
      </c>
    </row>
    <row r="3" spans="1:5" x14ac:dyDescent="0.25">
      <c r="A3" t="s">
        <v>266</v>
      </c>
      <c r="B3" t="s">
        <v>27</v>
      </c>
      <c r="C3" s="1">
        <v>45984</v>
      </c>
      <c r="D3" s="1">
        <v>45991</v>
      </c>
      <c r="E3" t="s">
        <v>267</v>
      </c>
    </row>
    <row r="4" spans="1:5" x14ac:dyDescent="0.25">
      <c r="A4" t="s">
        <v>268</v>
      </c>
      <c r="B4" t="s">
        <v>80</v>
      </c>
      <c r="C4" s="1">
        <v>46030</v>
      </c>
      <c r="D4" s="1">
        <v>46042</v>
      </c>
      <c r="E4" t="s">
        <v>269</v>
      </c>
    </row>
    <row r="5" spans="1:5" x14ac:dyDescent="0.25">
      <c r="A5" t="s">
        <v>270</v>
      </c>
      <c r="B5" t="s">
        <v>110</v>
      </c>
      <c r="C5" s="1">
        <v>46047</v>
      </c>
      <c r="D5" s="1">
        <v>46051</v>
      </c>
      <c r="E5" t="s">
        <v>139</v>
      </c>
    </row>
    <row r="6" spans="1:5" x14ac:dyDescent="0.25">
      <c r="A6" t="s">
        <v>271</v>
      </c>
      <c r="B6" t="s">
        <v>69</v>
      </c>
      <c r="C6" s="1">
        <v>46006</v>
      </c>
      <c r="D6" s="1">
        <v>46018</v>
      </c>
      <c r="E6" t="s">
        <v>267</v>
      </c>
    </row>
    <row r="7" spans="1:5" x14ac:dyDescent="0.25">
      <c r="A7" t="s">
        <v>272</v>
      </c>
      <c r="B7" t="s">
        <v>101</v>
      </c>
      <c r="C7" s="1">
        <v>46042</v>
      </c>
      <c r="D7" s="1">
        <v>46046</v>
      </c>
      <c r="E7" t="s">
        <v>139</v>
      </c>
    </row>
    <row r="8" spans="1:5" x14ac:dyDescent="0.25">
      <c r="A8" t="s">
        <v>273</v>
      </c>
      <c r="B8" t="s">
        <v>124</v>
      </c>
      <c r="C8" s="1">
        <v>45994</v>
      </c>
      <c r="D8" s="1">
        <v>46007</v>
      </c>
      <c r="E8" t="s">
        <v>269</v>
      </c>
    </row>
    <row r="9" spans="1:5" x14ac:dyDescent="0.25">
      <c r="A9" t="s">
        <v>274</v>
      </c>
      <c r="B9" t="s">
        <v>4</v>
      </c>
      <c r="C9" s="1">
        <v>45890</v>
      </c>
      <c r="D9" s="1">
        <v>45893</v>
      </c>
      <c r="E9" t="s">
        <v>139</v>
      </c>
    </row>
    <row r="10" spans="1:5" x14ac:dyDescent="0.25">
      <c r="A10" t="s">
        <v>275</v>
      </c>
      <c r="B10" t="s">
        <v>120</v>
      </c>
      <c r="C10" s="1">
        <v>46052</v>
      </c>
      <c r="D10" s="1">
        <v>46061</v>
      </c>
      <c r="E10" t="s">
        <v>139</v>
      </c>
    </row>
    <row r="11" spans="1:5" x14ac:dyDescent="0.25">
      <c r="A11" t="s">
        <v>276</v>
      </c>
      <c r="B11" t="s">
        <v>112</v>
      </c>
      <c r="C11" s="1">
        <v>45940</v>
      </c>
      <c r="D11" s="1">
        <v>45951</v>
      </c>
      <c r="E11" t="s">
        <v>139</v>
      </c>
    </row>
    <row r="12" spans="1:5" x14ac:dyDescent="0.25">
      <c r="A12" t="s">
        <v>277</v>
      </c>
      <c r="B12" t="s">
        <v>40</v>
      </c>
      <c r="C12" s="1">
        <v>46010</v>
      </c>
      <c r="D12" s="1">
        <v>46013</v>
      </c>
      <c r="E12" t="s">
        <v>267</v>
      </c>
    </row>
    <row r="13" spans="1:5" x14ac:dyDescent="0.25">
      <c r="A13" t="s">
        <v>278</v>
      </c>
      <c r="B13" t="s">
        <v>63</v>
      </c>
      <c r="C13" s="1">
        <v>45969</v>
      </c>
      <c r="D13" s="1">
        <v>45973</v>
      </c>
      <c r="E13" t="s">
        <v>269</v>
      </c>
    </row>
    <row r="14" spans="1:5" x14ac:dyDescent="0.25">
      <c r="A14" t="s">
        <v>279</v>
      </c>
      <c r="B14" t="s">
        <v>65</v>
      </c>
      <c r="C14" s="1">
        <v>45850</v>
      </c>
      <c r="D14" s="1">
        <v>45856</v>
      </c>
      <c r="E14" t="s">
        <v>269</v>
      </c>
    </row>
    <row r="15" spans="1:5" x14ac:dyDescent="0.25">
      <c r="A15" t="s">
        <v>280</v>
      </c>
      <c r="B15" t="s">
        <v>128</v>
      </c>
      <c r="C15" s="1">
        <v>45811</v>
      </c>
      <c r="D15" s="1">
        <v>45819</v>
      </c>
      <c r="E15" t="s">
        <v>267</v>
      </c>
    </row>
    <row r="16" spans="1:5" x14ac:dyDescent="0.25">
      <c r="A16" t="s">
        <v>281</v>
      </c>
      <c r="B16" t="s">
        <v>114</v>
      </c>
      <c r="C16" s="1">
        <v>45795</v>
      </c>
      <c r="D16" s="1">
        <v>45808</v>
      </c>
      <c r="E16" t="s">
        <v>139</v>
      </c>
    </row>
    <row r="17" spans="1:5" x14ac:dyDescent="0.25">
      <c r="A17" t="s">
        <v>282</v>
      </c>
      <c r="B17" t="s">
        <v>21</v>
      </c>
      <c r="C17" s="1">
        <v>46048</v>
      </c>
      <c r="D17" s="1">
        <v>46053</v>
      </c>
      <c r="E17" t="s">
        <v>267</v>
      </c>
    </row>
    <row r="18" spans="1:5" x14ac:dyDescent="0.25">
      <c r="A18" t="s">
        <v>283</v>
      </c>
      <c r="B18" t="s">
        <v>87</v>
      </c>
      <c r="C18" s="1">
        <v>45813</v>
      </c>
      <c r="D18" s="1">
        <v>45816</v>
      </c>
      <c r="E18" t="s">
        <v>269</v>
      </c>
    </row>
    <row r="19" spans="1:5" x14ac:dyDescent="0.25">
      <c r="A19" t="s">
        <v>284</v>
      </c>
      <c r="B19" t="s">
        <v>24</v>
      </c>
      <c r="C19" s="1">
        <v>45901</v>
      </c>
      <c r="D19" s="1">
        <v>45914</v>
      </c>
      <c r="E19" t="s">
        <v>267</v>
      </c>
    </row>
    <row r="20" spans="1:5" x14ac:dyDescent="0.25">
      <c r="A20" t="s">
        <v>285</v>
      </c>
      <c r="B20" t="s">
        <v>91</v>
      </c>
      <c r="C20" s="1">
        <v>46054</v>
      </c>
      <c r="D20" s="1">
        <v>46059</v>
      </c>
      <c r="E20" t="s">
        <v>139</v>
      </c>
    </row>
    <row r="21" spans="1:5" x14ac:dyDescent="0.25">
      <c r="A21" t="s">
        <v>286</v>
      </c>
      <c r="B21" t="s">
        <v>69</v>
      </c>
      <c r="C21" s="1">
        <v>45953</v>
      </c>
      <c r="D21" s="1">
        <v>45959</v>
      </c>
      <c r="E21" t="s">
        <v>269</v>
      </c>
    </row>
    <row r="22" spans="1:5" x14ac:dyDescent="0.25">
      <c r="A22" t="s">
        <v>287</v>
      </c>
      <c r="B22" t="s">
        <v>46</v>
      </c>
      <c r="C22" s="1">
        <v>45854</v>
      </c>
      <c r="D22" s="1">
        <v>45863</v>
      </c>
      <c r="E22" t="s">
        <v>269</v>
      </c>
    </row>
    <row r="23" spans="1:5" x14ac:dyDescent="0.25">
      <c r="A23" t="s">
        <v>288</v>
      </c>
      <c r="B23" t="s">
        <v>18</v>
      </c>
      <c r="C23" s="1">
        <v>45789</v>
      </c>
      <c r="D23" s="1">
        <v>45793</v>
      </c>
      <c r="E23" t="s">
        <v>269</v>
      </c>
    </row>
    <row r="24" spans="1:5" x14ac:dyDescent="0.25">
      <c r="A24" t="s">
        <v>289</v>
      </c>
      <c r="B24" t="s">
        <v>15</v>
      </c>
      <c r="C24" s="1">
        <v>45793</v>
      </c>
      <c r="D24" s="1">
        <v>45807</v>
      </c>
      <c r="E24" t="s">
        <v>269</v>
      </c>
    </row>
    <row r="25" spans="1:5" x14ac:dyDescent="0.25">
      <c r="A25" t="s">
        <v>290</v>
      </c>
      <c r="B25" t="s">
        <v>124</v>
      </c>
      <c r="C25" s="1">
        <v>46017</v>
      </c>
      <c r="D25" s="1">
        <v>46025</v>
      </c>
      <c r="E25" t="s">
        <v>267</v>
      </c>
    </row>
    <row r="26" spans="1:5" x14ac:dyDescent="0.25">
      <c r="A26" t="s">
        <v>291</v>
      </c>
      <c r="B26" t="s">
        <v>80</v>
      </c>
      <c r="C26" s="1">
        <v>45787</v>
      </c>
      <c r="D26" s="1">
        <v>45793</v>
      </c>
      <c r="E26" t="s">
        <v>269</v>
      </c>
    </row>
    <row r="27" spans="1:5" x14ac:dyDescent="0.25">
      <c r="A27" t="s">
        <v>292</v>
      </c>
      <c r="B27" t="s">
        <v>114</v>
      </c>
      <c r="C27" s="1">
        <v>46034</v>
      </c>
      <c r="D27" s="1">
        <v>46047</v>
      </c>
      <c r="E27" t="s">
        <v>269</v>
      </c>
    </row>
    <row r="28" spans="1:5" x14ac:dyDescent="0.25">
      <c r="A28" t="s">
        <v>293</v>
      </c>
      <c r="B28" t="s">
        <v>24</v>
      </c>
      <c r="C28" s="1">
        <v>45855</v>
      </c>
      <c r="D28" s="1">
        <v>45859</v>
      </c>
      <c r="E28" t="s">
        <v>269</v>
      </c>
    </row>
    <row r="29" spans="1:5" x14ac:dyDescent="0.25">
      <c r="A29" t="s">
        <v>294</v>
      </c>
      <c r="B29" t="s">
        <v>52</v>
      </c>
      <c r="C29" s="1">
        <v>45965</v>
      </c>
      <c r="D29" s="1">
        <v>45978</v>
      </c>
      <c r="E29" t="s">
        <v>269</v>
      </c>
    </row>
    <row r="30" spans="1:5" x14ac:dyDescent="0.25">
      <c r="A30" t="s">
        <v>295</v>
      </c>
      <c r="B30" t="s">
        <v>36</v>
      </c>
      <c r="C30" s="1">
        <v>45894</v>
      </c>
      <c r="D30" s="1">
        <v>45899</v>
      </c>
      <c r="E30" t="s">
        <v>267</v>
      </c>
    </row>
    <row r="31" spans="1:5" x14ac:dyDescent="0.25">
      <c r="A31" t="s">
        <v>296</v>
      </c>
      <c r="B31" t="s">
        <v>91</v>
      </c>
      <c r="C31" s="1">
        <v>45960</v>
      </c>
      <c r="D31" s="1">
        <v>45963</v>
      </c>
      <c r="E31" t="s">
        <v>269</v>
      </c>
    </row>
    <row r="32" spans="1:5" x14ac:dyDescent="0.25">
      <c r="A32" t="s">
        <v>297</v>
      </c>
      <c r="B32" t="s">
        <v>48</v>
      </c>
      <c r="C32" s="1">
        <v>45823</v>
      </c>
      <c r="D32" s="1">
        <v>45837</v>
      </c>
      <c r="E32" t="s">
        <v>269</v>
      </c>
    </row>
    <row r="33" spans="1:5" x14ac:dyDescent="0.25">
      <c r="A33" t="s">
        <v>298</v>
      </c>
      <c r="B33" t="s">
        <v>80</v>
      </c>
      <c r="C33" s="1">
        <v>46035</v>
      </c>
      <c r="D33" s="1">
        <v>46039</v>
      </c>
      <c r="E33" t="s">
        <v>269</v>
      </c>
    </row>
    <row r="34" spans="1:5" x14ac:dyDescent="0.25">
      <c r="A34" t="s">
        <v>299</v>
      </c>
      <c r="B34" t="s">
        <v>32</v>
      </c>
      <c r="C34" s="1">
        <v>46019</v>
      </c>
      <c r="D34" s="1">
        <v>46026</v>
      </c>
      <c r="E34" t="s">
        <v>269</v>
      </c>
    </row>
    <row r="35" spans="1:5" x14ac:dyDescent="0.25">
      <c r="A35" t="s">
        <v>300</v>
      </c>
      <c r="B35" t="s">
        <v>75</v>
      </c>
      <c r="C35" s="1">
        <v>45881</v>
      </c>
      <c r="D35" s="1">
        <v>45894</v>
      </c>
      <c r="E35" t="s">
        <v>269</v>
      </c>
    </row>
    <row r="36" spans="1:5" x14ac:dyDescent="0.25">
      <c r="A36" t="s">
        <v>301</v>
      </c>
      <c r="B36" t="s">
        <v>104</v>
      </c>
      <c r="C36" s="1">
        <v>46040</v>
      </c>
      <c r="D36" s="1">
        <v>46050</v>
      </c>
      <c r="E36" t="s">
        <v>139</v>
      </c>
    </row>
    <row r="37" spans="1:5" x14ac:dyDescent="0.25">
      <c r="A37" t="s">
        <v>302</v>
      </c>
      <c r="B37" t="s">
        <v>116</v>
      </c>
      <c r="C37" s="1">
        <v>45806</v>
      </c>
      <c r="D37" s="1">
        <v>45814</v>
      </c>
      <c r="E37" t="s">
        <v>267</v>
      </c>
    </row>
    <row r="38" spans="1:5" x14ac:dyDescent="0.25">
      <c r="A38" t="s">
        <v>303</v>
      </c>
      <c r="B38" t="s">
        <v>84</v>
      </c>
      <c r="C38" s="1">
        <v>46051</v>
      </c>
      <c r="D38" s="1">
        <v>46061</v>
      </c>
      <c r="E38" t="s">
        <v>267</v>
      </c>
    </row>
    <row r="39" spans="1:5" x14ac:dyDescent="0.25">
      <c r="A39" t="s">
        <v>304</v>
      </c>
      <c r="B39" t="s">
        <v>48</v>
      </c>
      <c r="C39" s="1">
        <v>45885</v>
      </c>
      <c r="D39" s="1">
        <v>45893</v>
      </c>
      <c r="E39" t="s">
        <v>267</v>
      </c>
    </row>
    <row r="40" spans="1:5" x14ac:dyDescent="0.25">
      <c r="A40" t="s">
        <v>305</v>
      </c>
      <c r="B40" t="s">
        <v>80</v>
      </c>
      <c r="C40" s="1">
        <v>45884</v>
      </c>
      <c r="D40" s="1">
        <v>45888</v>
      </c>
      <c r="E40" t="s">
        <v>139</v>
      </c>
    </row>
    <row r="41" spans="1:5" x14ac:dyDescent="0.25">
      <c r="A41" t="s">
        <v>306</v>
      </c>
      <c r="B41" t="s">
        <v>8</v>
      </c>
      <c r="C41" s="1">
        <v>45955</v>
      </c>
      <c r="D41" s="1">
        <v>45961</v>
      </c>
      <c r="E41" t="s">
        <v>139</v>
      </c>
    </row>
    <row r="42" spans="1:5" x14ac:dyDescent="0.25">
      <c r="A42" t="s">
        <v>307</v>
      </c>
      <c r="B42" t="s">
        <v>65</v>
      </c>
      <c r="C42" s="1">
        <v>45868</v>
      </c>
      <c r="D42" s="1">
        <v>45871</v>
      </c>
      <c r="E42" t="s">
        <v>267</v>
      </c>
    </row>
    <row r="43" spans="1:5" x14ac:dyDescent="0.25">
      <c r="A43" t="s">
        <v>308</v>
      </c>
      <c r="B43" t="s">
        <v>104</v>
      </c>
      <c r="C43" s="1">
        <v>45928</v>
      </c>
      <c r="D43" s="1">
        <v>45932</v>
      </c>
      <c r="E43" t="s">
        <v>269</v>
      </c>
    </row>
    <row r="44" spans="1:5" x14ac:dyDescent="0.25">
      <c r="A44" t="s">
        <v>309</v>
      </c>
      <c r="B44" t="s">
        <v>108</v>
      </c>
      <c r="C44" s="1">
        <v>45937</v>
      </c>
      <c r="D44" s="1">
        <v>45948</v>
      </c>
      <c r="E44" t="s">
        <v>267</v>
      </c>
    </row>
    <row r="45" spans="1:5" x14ac:dyDescent="0.25">
      <c r="A45" t="s">
        <v>310</v>
      </c>
      <c r="B45" t="s">
        <v>65</v>
      </c>
      <c r="C45" s="1">
        <v>46033</v>
      </c>
      <c r="D45" s="1">
        <v>46037</v>
      </c>
      <c r="E45" t="s">
        <v>267</v>
      </c>
    </row>
    <row r="46" spans="1:5" x14ac:dyDescent="0.25">
      <c r="A46" t="s">
        <v>311</v>
      </c>
      <c r="B46" t="s">
        <v>21</v>
      </c>
      <c r="C46" s="1">
        <v>45985</v>
      </c>
      <c r="D46" s="1">
        <v>45992</v>
      </c>
      <c r="E46" t="s">
        <v>269</v>
      </c>
    </row>
    <row r="47" spans="1:5" x14ac:dyDescent="0.25">
      <c r="A47" t="s">
        <v>312</v>
      </c>
      <c r="B47" t="s">
        <v>36</v>
      </c>
      <c r="C47" s="1">
        <v>45864</v>
      </c>
      <c r="D47" s="1">
        <v>45869</v>
      </c>
      <c r="E47" t="s">
        <v>269</v>
      </c>
    </row>
    <row r="48" spans="1:5" x14ac:dyDescent="0.25">
      <c r="A48" t="s">
        <v>313</v>
      </c>
      <c r="B48" t="s">
        <v>21</v>
      </c>
      <c r="C48" s="1">
        <v>45791</v>
      </c>
      <c r="D48" s="1">
        <v>45795</v>
      </c>
      <c r="E48" t="s">
        <v>269</v>
      </c>
    </row>
    <row r="49" spans="1:5" x14ac:dyDescent="0.25">
      <c r="A49" t="s">
        <v>314</v>
      </c>
      <c r="B49" t="s">
        <v>4</v>
      </c>
      <c r="C49" s="1">
        <v>45795</v>
      </c>
      <c r="D49" s="1">
        <v>45809</v>
      </c>
      <c r="E49" t="s">
        <v>269</v>
      </c>
    </row>
    <row r="50" spans="1:5" x14ac:dyDescent="0.25">
      <c r="A50" t="s">
        <v>315</v>
      </c>
      <c r="B50" t="s">
        <v>63</v>
      </c>
      <c r="C50" s="1">
        <v>45854</v>
      </c>
      <c r="D50" s="1">
        <v>45863</v>
      </c>
      <c r="E50" t="s">
        <v>139</v>
      </c>
    </row>
    <row r="51" spans="1:5" x14ac:dyDescent="0.25">
      <c r="A51" t="s">
        <v>316</v>
      </c>
      <c r="B51" t="s">
        <v>84</v>
      </c>
      <c r="C51" s="1">
        <v>46005</v>
      </c>
      <c r="D51" s="1">
        <v>46018</v>
      </c>
      <c r="E51" t="s">
        <v>267</v>
      </c>
    </row>
    <row r="52" spans="1:5" x14ac:dyDescent="0.25">
      <c r="A52" t="s">
        <v>317</v>
      </c>
      <c r="B52" t="s">
        <v>38</v>
      </c>
      <c r="C52" s="1">
        <v>46013</v>
      </c>
      <c r="D52" s="1">
        <v>46021</v>
      </c>
      <c r="E52" t="s">
        <v>139</v>
      </c>
    </row>
    <row r="53" spans="1:5" x14ac:dyDescent="0.25">
      <c r="A53" t="s">
        <v>318</v>
      </c>
      <c r="B53" t="s">
        <v>4</v>
      </c>
      <c r="C53" s="1">
        <v>45834</v>
      </c>
      <c r="D53" s="1">
        <v>45839</v>
      </c>
      <c r="E53" t="s">
        <v>269</v>
      </c>
    </row>
    <row r="54" spans="1:5" x14ac:dyDescent="0.25">
      <c r="A54" t="s">
        <v>319</v>
      </c>
      <c r="B54" t="s">
        <v>69</v>
      </c>
      <c r="C54" s="1">
        <v>45930</v>
      </c>
      <c r="D54" s="1">
        <v>45944</v>
      </c>
      <c r="E54" t="s">
        <v>139</v>
      </c>
    </row>
    <row r="55" spans="1:5" x14ac:dyDescent="0.25">
      <c r="A55" t="s">
        <v>320</v>
      </c>
      <c r="B55" t="s">
        <v>93</v>
      </c>
      <c r="C55" s="1">
        <v>45822</v>
      </c>
      <c r="D55" s="1">
        <v>45834</v>
      </c>
      <c r="E55" t="s">
        <v>139</v>
      </c>
    </row>
    <row r="56" spans="1:5" x14ac:dyDescent="0.25">
      <c r="A56" t="s">
        <v>321</v>
      </c>
      <c r="B56" t="s">
        <v>24</v>
      </c>
      <c r="C56" s="1">
        <v>45972</v>
      </c>
      <c r="D56" s="1">
        <v>45976</v>
      </c>
      <c r="E56" t="s">
        <v>269</v>
      </c>
    </row>
    <row r="57" spans="1:5" x14ac:dyDescent="0.25">
      <c r="A57" t="s">
        <v>322</v>
      </c>
      <c r="B57" t="s">
        <v>8</v>
      </c>
      <c r="C57" s="1">
        <v>45810</v>
      </c>
      <c r="D57" s="1">
        <v>45820</v>
      </c>
      <c r="E57" t="s">
        <v>269</v>
      </c>
    </row>
    <row r="58" spans="1:5" x14ac:dyDescent="0.25">
      <c r="A58" t="s">
        <v>323</v>
      </c>
      <c r="B58" t="s">
        <v>101</v>
      </c>
      <c r="C58" s="1">
        <v>45790</v>
      </c>
      <c r="D58" s="1">
        <v>45796</v>
      </c>
      <c r="E58" t="s">
        <v>267</v>
      </c>
    </row>
    <row r="59" spans="1:5" x14ac:dyDescent="0.25">
      <c r="A59" t="s">
        <v>324</v>
      </c>
      <c r="B59" t="s">
        <v>27</v>
      </c>
      <c r="C59" s="1">
        <v>46039</v>
      </c>
      <c r="D59" s="1">
        <v>46045</v>
      </c>
      <c r="E59" t="s">
        <v>139</v>
      </c>
    </row>
    <row r="60" spans="1:5" x14ac:dyDescent="0.25">
      <c r="A60" t="s">
        <v>325</v>
      </c>
      <c r="B60" t="s">
        <v>114</v>
      </c>
      <c r="C60" s="1">
        <v>45790</v>
      </c>
      <c r="D60" s="1">
        <v>45802</v>
      </c>
      <c r="E60" t="s">
        <v>139</v>
      </c>
    </row>
    <row r="61" spans="1:5" x14ac:dyDescent="0.25">
      <c r="A61" t="s">
        <v>326</v>
      </c>
      <c r="B61" t="s">
        <v>80</v>
      </c>
      <c r="C61" s="1">
        <v>45788</v>
      </c>
      <c r="D61" s="1">
        <v>45801</v>
      </c>
      <c r="E61" t="s">
        <v>267</v>
      </c>
    </row>
    <row r="62" spans="1:5" x14ac:dyDescent="0.25">
      <c r="A62" t="s">
        <v>327</v>
      </c>
      <c r="B62" t="s">
        <v>21</v>
      </c>
      <c r="C62" s="1">
        <v>45991</v>
      </c>
      <c r="D62" s="1">
        <v>46005</v>
      </c>
      <c r="E62" t="s">
        <v>139</v>
      </c>
    </row>
    <row r="63" spans="1:5" x14ac:dyDescent="0.25">
      <c r="A63" t="s">
        <v>328</v>
      </c>
      <c r="B63" t="s">
        <v>71</v>
      </c>
      <c r="C63" s="1">
        <v>45847</v>
      </c>
      <c r="D63" s="1">
        <v>45859</v>
      </c>
      <c r="E63" t="s">
        <v>139</v>
      </c>
    </row>
    <row r="64" spans="1:5" x14ac:dyDescent="0.25">
      <c r="A64" t="s">
        <v>329</v>
      </c>
      <c r="B64" t="s">
        <v>106</v>
      </c>
      <c r="C64" s="1">
        <v>46013</v>
      </c>
      <c r="D64" s="1">
        <v>46024</v>
      </c>
      <c r="E64" t="s">
        <v>267</v>
      </c>
    </row>
    <row r="65" spans="1:5" x14ac:dyDescent="0.25">
      <c r="A65" t="s">
        <v>330</v>
      </c>
      <c r="B65" t="s">
        <v>54</v>
      </c>
      <c r="C65" s="1">
        <v>45804</v>
      </c>
      <c r="D65" s="1">
        <v>45815</v>
      </c>
      <c r="E65" t="s">
        <v>139</v>
      </c>
    </row>
    <row r="66" spans="1:5" x14ac:dyDescent="0.25">
      <c r="A66" t="s">
        <v>331</v>
      </c>
      <c r="B66" t="s">
        <v>50</v>
      </c>
      <c r="C66" s="1">
        <v>45985</v>
      </c>
      <c r="D66" s="1">
        <v>45988</v>
      </c>
      <c r="E66" t="s">
        <v>267</v>
      </c>
    </row>
    <row r="67" spans="1:5" x14ac:dyDescent="0.25">
      <c r="A67" t="s">
        <v>332</v>
      </c>
      <c r="B67" t="s">
        <v>118</v>
      </c>
      <c r="C67" s="1">
        <v>46017</v>
      </c>
      <c r="D67" s="1">
        <v>46028</v>
      </c>
      <c r="E67" t="s">
        <v>267</v>
      </c>
    </row>
    <row r="68" spans="1:5" x14ac:dyDescent="0.25">
      <c r="A68" t="s">
        <v>333</v>
      </c>
      <c r="B68" t="s">
        <v>18</v>
      </c>
      <c r="C68" s="1">
        <v>46011</v>
      </c>
      <c r="D68" s="1">
        <v>46023</v>
      </c>
      <c r="E68" t="s">
        <v>139</v>
      </c>
    </row>
    <row r="69" spans="1:5" x14ac:dyDescent="0.25">
      <c r="A69" t="s">
        <v>334</v>
      </c>
      <c r="B69" t="s">
        <v>80</v>
      </c>
      <c r="C69" s="1">
        <v>45917</v>
      </c>
      <c r="D69" s="1">
        <v>45921</v>
      </c>
      <c r="E69" t="s">
        <v>267</v>
      </c>
    </row>
    <row r="70" spans="1:5" x14ac:dyDescent="0.25">
      <c r="A70" t="s">
        <v>335</v>
      </c>
      <c r="B70" t="s">
        <v>69</v>
      </c>
      <c r="C70" s="1">
        <v>45817</v>
      </c>
      <c r="D70" s="1">
        <v>45820</v>
      </c>
      <c r="E70" t="s">
        <v>267</v>
      </c>
    </row>
    <row r="71" spans="1:5" x14ac:dyDescent="0.25">
      <c r="A71" t="s">
        <v>336</v>
      </c>
      <c r="B71" t="s">
        <v>91</v>
      </c>
      <c r="C71" s="1">
        <v>46000</v>
      </c>
      <c r="D71" s="1">
        <v>46010</v>
      </c>
      <c r="E71" t="s">
        <v>269</v>
      </c>
    </row>
    <row r="72" spans="1:5" x14ac:dyDescent="0.25">
      <c r="A72" t="s">
        <v>337</v>
      </c>
      <c r="B72" t="s">
        <v>63</v>
      </c>
      <c r="C72" s="1">
        <v>45987</v>
      </c>
      <c r="D72" s="1">
        <v>45999</v>
      </c>
      <c r="E72" t="s">
        <v>267</v>
      </c>
    </row>
    <row r="73" spans="1:5" x14ac:dyDescent="0.25">
      <c r="A73" t="s">
        <v>338</v>
      </c>
      <c r="B73" t="s">
        <v>4</v>
      </c>
      <c r="C73" s="1">
        <v>46000</v>
      </c>
      <c r="D73" s="1">
        <v>46005</v>
      </c>
      <c r="E73" t="s">
        <v>267</v>
      </c>
    </row>
    <row r="74" spans="1:5" x14ac:dyDescent="0.25">
      <c r="A74" t="s">
        <v>339</v>
      </c>
      <c r="B74" t="s">
        <v>71</v>
      </c>
      <c r="C74" s="1">
        <v>45972</v>
      </c>
      <c r="D74" s="1">
        <v>45982</v>
      </c>
      <c r="E74" t="s">
        <v>269</v>
      </c>
    </row>
    <row r="75" spans="1:5" x14ac:dyDescent="0.25">
      <c r="A75" t="s">
        <v>340</v>
      </c>
      <c r="B75" t="s">
        <v>104</v>
      </c>
      <c r="C75" s="1">
        <v>45791</v>
      </c>
      <c r="D75" s="1">
        <v>45800</v>
      </c>
      <c r="E75" t="s">
        <v>269</v>
      </c>
    </row>
    <row r="76" spans="1:5" x14ac:dyDescent="0.25">
      <c r="A76" t="s">
        <v>341</v>
      </c>
      <c r="B76" t="s">
        <v>65</v>
      </c>
      <c r="C76" s="1">
        <v>45820</v>
      </c>
      <c r="D76" s="1">
        <v>45832</v>
      </c>
      <c r="E76" t="s">
        <v>269</v>
      </c>
    </row>
    <row r="77" spans="1:5" x14ac:dyDescent="0.25">
      <c r="A77" t="s">
        <v>342</v>
      </c>
      <c r="B77" t="s">
        <v>4</v>
      </c>
      <c r="C77" s="1">
        <v>45893</v>
      </c>
      <c r="D77" s="1">
        <v>45900</v>
      </c>
      <c r="E77" t="s">
        <v>139</v>
      </c>
    </row>
    <row r="78" spans="1:5" x14ac:dyDescent="0.25">
      <c r="A78" t="s">
        <v>343</v>
      </c>
      <c r="B78" t="s">
        <v>32</v>
      </c>
      <c r="C78" s="1">
        <v>46028</v>
      </c>
      <c r="D78" s="1">
        <v>46038</v>
      </c>
      <c r="E78" t="s">
        <v>269</v>
      </c>
    </row>
    <row r="79" spans="1:5" x14ac:dyDescent="0.25">
      <c r="A79" t="s">
        <v>344</v>
      </c>
      <c r="B79" t="s">
        <v>60</v>
      </c>
      <c r="C79" s="1">
        <v>45866</v>
      </c>
      <c r="D79" s="1">
        <v>45872</v>
      </c>
      <c r="E79" t="s">
        <v>267</v>
      </c>
    </row>
    <row r="80" spans="1:5" x14ac:dyDescent="0.25">
      <c r="A80" t="s">
        <v>345</v>
      </c>
      <c r="B80" t="s">
        <v>118</v>
      </c>
      <c r="C80" s="1">
        <v>45932</v>
      </c>
      <c r="D80" s="1">
        <v>45943</v>
      </c>
      <c r="E80" t="s">
        <v>267</v>
      </c>
    </row>
    <row r="81" spans="1:5" x14ac:dyDescent="0.25">
      <c r="A81" t="s">
        <v>346</v>
      </c>
      <c r="B81" t="s">
        <v>36</v>
      </c>
      <c r="C81" s="1">
        <v>45967</v>
      </c>
      <c r="D81" s="1">
        <v>45970</v>
      </c>
      <c r="E81" t="s">
        <v>139</v>
      </c>
    </row>
    <row r="82" spans="1:5" x14ac:dyDescent="0.25">
      <c r="A82" t="s">
        <v>347</v>
      </c>
      <c r="B82" t="s">
        <v>106</v>
      </c>
      <c r="C82" s="1">
        <v>45946</v>
      </c>
      <c r="D82" s="1">
        <v>45953</v>
      </c>
      <c r="E82" t="s">
        <v>269</v>
      </c>
    </row>
    <row r="83" spans="1:5" x14ac:dyDescent="0.25">
      <c r="A83" t="s">
        <v>348</v>
      </c>
      <c r="B83" t="s">
        <v>99</v>
      </c>
      <c r="C83" s="1">
        <v>46046</v>
      </c>
      <c r="D83" s="1">
        <v>46057</v>
      </c>
      <c r="E83" t="s">
        <v>269</v>
      </c>
    </row>
    <row r="84" spans="1:5" x14ac:dyDescent="0.25">
      <c r="A84" t="s">
        <v>349</v>
      </c>
      <c r="B84" t="s">
        <v>54</v>
      </c>
      <c r="C84" s="1">
        <v>45953</v>
      </c>
      <c r="D84" s="1">
        <v>45958</v>
      </c>
      <c r="E84" t="s">
        <v>139</v>
      </c>
    </row>
    <row r="85" spans="1:5" x14ac:dyDescent="0.25">
      <c r="A85" t="s">
        <v>350</v>
      </c>
      <c r="B85" t="s">
        <v>50</v>
      </c>
      <c r="C85" s="1">
        <v>46030</v>
      </c>
      <c r="D85" s="1">
        <v>46042</v>
      </c>
      <c r="E85" t="s">
        <v>139</v>
      </c>
    </row>
    <row r="86" spans="1:5" x14ac:dyDescent="0.25">
      <c r="A86" t="s">
        <v>351</v>
      </c>
      <c r="B86" t="s">
        <v>27</v>
      </c>
      <c r="C86" s="1">
        <v>45908</v>
      </c>
      <c r="D86" s="1">
        <v>45914</v>
      </c>
      <c r="E86" t="s">
        <v>267</v>
      </c>
    </row>
    <row r="87" spans="1:5" x14ac:dyDescent="0.25">
      <c r="A87" t="s">
        <v>352</v>
      </c>
      <c r="B87" t="s">
        <v>106</v>
      </c>
      <c r="C87" s="1">
        <v>45889</v>
      </c>
      <c r="D87" s="1">
        <v>45894</v>
      </c>
      <c r="E87" t="s">
        <v>269</v>
      </c>
    </row>
    <row r="88" spans="1:5" x14ac:dyDescent="0.25">
      <c r="A88" t="s">
        <v>353</v>
      </c>
      <c r="B88" t="s">
        <v>112</v>
      </c>
      <c r="C88" s="1">
        <v>45879</v>
      </c>
      <c r="D88" s="1">
        <v>45890</v>
      </c>
      <c r="E88" t="s">
        <v>269</v>
      </c>
    </row>
    <row r="89" spans="1:5" x14ac:dyDescent="0.25">
      <c r="A89" t="s">
        <v>354</v>
      </c>
      <c r="B89" t="s">
        <v>38</v>
      </c>
      <c r="C89" s="1">
        <v>45981</v>
      </c>
      <c r="D89" s="1">
        <v>45986</v>
      </c>
      <c r="E89" t="s">
        <v>139</v>
      </c>
    </row>
    <row r="90" spans="1:5" x14ac:dyDescent="0.25">
      <c r="A90" t="s">
        <v>355</v>
      </c>
      <c r="B90" t="s">
        <v>101</v>
      </c>
      <c r="C90" s="1">
        <v>45868</v>
      </c>
      <c r="D90" s="1">
        <v>45882</v>
      </c>
      <c r="E90" t="s">
        <v>267</v>
      </c>
    </row>
    <row r="91" spans="1:5" x14ac:dyDescent="0.25">
      <c r="A91" t="s">
        <v>356</v>
      </c>
      <c r="B91" t="s">
        <v>24</v>
      </c>
      <c r="C91" s="1">
        <v>46016</v>
      </c>
      <c r="D91" s="1">
        <v>46028</v>
      </c>
      <c r="E91" t="s">
        <v>139</v>
      </c>
    </row>
    <row r="92" spans="1:5" x14ac:dyDescent="0.25">
      <c r="A92" t="s">
        <v>357</v>
      </c>
      <c r="B92" t="s">
        <v>78</v>
      </c>
      <c r="C92" s="1">
        <v>45919</v>
      </c>
      <c r="D92" s="1">
        <v>45931</v>
      </c>
      <c r="E92" t="s">
        <v>139</v>
      </c>
    </row>
    <row r="93" spans="1:5" x14ac:dyDescent="0.25">
      <c r="A93" t="s">
        <v>358</v>
      </c>
      <c r="B93" t="s">
        <v>34</v>
      </c>
      <c r="C93" s="1">
        <v>45938</v>
      </c>
      <c r="D93" s="1">
        <v>45941</v>
      </c>
      <c r="E93" t="s">
        <v>269</v>
      </c>
    </row>
    <row r="94" spans="1:5" x14ac:dyDescent="0.25">
      <c r="A94" t="s">
        <v>359</v>
      </c>
      <c r="B94" t="s">
        <v>93</v>
      </c>
      <c r="C94" s="1">
        <v>45923</v>
      </c>
      <c r="D94" s="1">
        <v>45927</v>
      </c>
      <c r="E94" t="s">
        <v>139</v>
      </c>
    </row>
    <row r="95" spans="1:5" x14ac:dyDescent="0.25">
      <c r="A95" t="s">
        <v>360</v>
      </c>
      <c r="B95" t="s">
        <v>46</v>
      </c>
      <c r="C95" s="1">
        <v>45901</v>
      </c>
      <c r="D95" s="1">
        <v>45904</v>
      </c>
      <c r="E95" t="s">
        <v>267</v>
      </c>
    </row>
    <row r="96" spans="1:5" x14ac:dyDescent="0.25">
      <c r="A96" t="s">
        <v>361</v>
      </c>
      <c r="B96" t="s">
        <v>126</v>
      </c>
      <c r="C96" s="1">
        <v>46028</v>
      </c>
      <c r="D96" s="1">
        <v>46042</v>
      </c>
      <c r="E96" t="s">
        <v>139</v>
      </c>
    </row>
    <row r="97" spans="1:5" x14ac:dyDescent="0.25">
      <c r="A97" t="s">
        <v>362</v>
      </c>
      <c r="B97" t="s">
        <v>46</v>
      </c>
      <c r="C97" s="1">
        <v>45865</v>
      </c>
      <c r="D97" s="1">
        <v>45868</v>
      </c>
      <c r="E97" t="s">
        <v>269</v>
      </c>
    </row>
    <row r="98" spans="1:5" x14ac:dyDescent="0.25">
      <c r="A98" t="s">
        <v>363</v>
      </c>
      <c r="B98" t="s">
        <v>12</v>
      </c>
      <c r="C98" s="1">
        <v>46041</v>
      </c>
      <c r="D98" s="1">
        <v>46048</v>
      </c>
      <c r="E98" t="s">
        <v>267</v>
      </c>
    </row>
    <row r="99" spans="1:5" x14ac:dyDescent="0.25">
      <c r="A99" t="s">
        <v>364</v>
      </c>
      <c r="B99" t="s">
        <v>84</v>
      </c>
      <c r="C99" s="1">
        <v>46005</v>
      </c>
      <c r="D99" s="1">
        <v>46013</v>
      </c>
      <c r="E99" t="s">
        <v>269</v>
      </c>
    </row>
    <row r="100" spans="1:5" x14ac:dyDescent="0.25">
      <c r="A100" t="s">
        <v>365</v>
      </c>
      <c r="B100" t="s">
        <v>40</v>
      </c>
      <c r="C100" s="1">
        <v>45778</v>
      </c>
      <c r="D100" s="1">
        <v>45788</v>
      </c>
      <c r="E100" t="s">
        <v>267</v>
      </c>
    </row>
    <row r="101" spans="1:5" x14ac:dyDescent="0.25">
      <c r="A101" t="s">
        <v>366</v>
      </c>
      <c r="B101" t="s">
        <v>78</v>
      </c>
      <c r="C101" s="1">
        <v>45871</v>
      </c>
      <c r="D101" s="1">
        <v>45884</v>
      </c>
      <c r="E101" t="s">
        <v>267</v>
      </c>
    </row>
    <row r="102" spans="1:5" x14ac:dyDescent="0.25">
      <c r="A102" t="s">
        <v>367</v>
      </c>
      <c r="B102" t="s">
        <v>118</v>
      </c>
      <c r="C102" s="1">
        <v>45900</v>
      </c>
      <c r="D102" s="1">
        <v>45907</v>
      </c>
      <c r="E102" t="s">
        <v>267</v>
      </c>
    </row>
    <row r="103" spans="1:5" x14ac:dyDescent="0.25">
      <c r="A103" t="s">
        <v>368</v>
      </c>
      <c r="B103" t="s">
        <v>99</v>
      </c>
      <c r="C103" s="1">
        <v>46009</v>
      </c>
      <c r="D103" s="1">
        <v>46014</v>
      </c>
      <c r="E103" t="s">
        <v>267</v>
      </c>
    </row>
    <row r="104" spans="1:5" x14ac:dyDescent="0.25">
      <c r="A104" t="s">
        <v>369</v>
      </c>
      <c r="B104" t="s">
        <v>97</v>
      </c>
      <c r="C104" s="1">
        <v>45907</v>
      </c>
      <c r="D104" s="1">
        <v>45919</v>
      </c>
      <c r="E104" t="s">
        <v>269</v>
      </c>
    </row>
    <row r="105" spans="1:5" x14ac:dyDescent="0.25">
      <c r="A105" t="s">
        <v>370</v>
      </c>
      <c r="B105" t="s">
        <v>128</v>
      </c>
      <c r="C105" s="1">
        <v>45865</v>
      </c>
      <c r="D105" s="1">
        <v>45869</v>
      </c>
      <c r="E105" t="s">
        <v>269</v>
      </c>
    </row>
    <row r="106" spans="1:5" x14ac:dyDescent="0.25">
      <c r="A106" t="s">
        <v>371</v>
      </c>
      <c r="B106" t="s">
        <v>38</v>
      </c>
      <c r="C106" s="1">
        <v>45873</v>
      </c>
      <c r="D106" s="1">
        <v>45885</v>
      </c>
      <c r="E106" t="s">
        <v>269</v>
      </c>
    </row>
    <row r="107" spans="1:5" x14ac:dyDescent="0.25">
      <c r="A107" t="s">
        <v>372</v>
      </c>
      <c r="B107" t="s">
        <v>32</v>
      </c>
      <c r="C107" s="1">
        <v>45958</v>
      </c>
      <c r="D107" s="1">
        <v>45967</v>
      </c>
      <c r="E107" t="s">
        <v>139</v>
      </c>
    </row>
    <row r="108" spans="1:5" x14ac:dyDescent="0.25">
      <c r="A108" t="s">
        <v>373</v>
      </c>
      <c r="B108" t="s">
        <v>82</v>
      </c>
      <c r="C108" s="1">
        <v>45863</v>
      </c>
      <c r="D108" s="1">
        <v>45869</v>
      </c>
      <c r="E108" t="s">
        <v>267</v>
      </c>
    </row>
    <row r="109" spans="1:5" x14ac:dyDescent="0.25">
      <c r="A109" t="s">
        <v>374</v>
      </c>
      <c r="B109" t="s">
        <v>101</v>
      </c>
      <c r="C109" s="1">
        <v>45857</v>
      </c>
      <c r="D109" s="1">
        <v>45865</v>
      </c>
      <c r="E109" t="s">
        <v>139</v>
      </c>
    </row>
    <row r="110" spans="1:5" x14ac:dyDescent="0.25">
      <c r="A110" t="s">
        <v>375</v>
      </c>
      <c r="B110" t="s">
        <v>87</v>
      </c>
      <c r="C110" s="1">
        <v>45963</v>
      </c>
      <c r="D110" s="1">
        <v>45976</v>
      </c>
      <c r="E110" t="s">
        <v>269</v>
      </c>
    </row>
    <row r="111" spans="1:5" x14ac:dyDescent="0.25">
      <c r="A111" t="s">
        <v>376</v>
      </c>
      <c r="B111" t="s">
        <v>67</v>
      </c>
      <c r="C111" s="1">
        <v>45818</v>
      </c>
      <c r="D111" s="1">
        <v>45826</v>
      </c>
      <c r="E111" t="s">
        <v>139</v>
      </c>
    </row>
    <row r="112" spans="1:5" x14ac:dyDescent="0.25">
      <c r="A112" t="s">
        <v>377</v>
      </c>
      <c r="B112" t="s">
        <v>21</v>
      </c>
      <c r="C112" s="1">
        <v>46024</v>
      </c>
      <c r="D112" s="1">
        <v>46035</v>
      </c>
      <c r="E112" t="s">
        <v>139</v>
      </c>
    </row>
    <row r="113" spans="1:5" x14ac:dyDescent="0.25">
      <c r="A113" t="s">
        <v>378</v>
      </c>
      <c r="B113" t="s">
        <v>91</v>
      </c>
      <c r="C113" s="1">
        <v>45833</v>
      </c>
      <c r="D113" s="1">
        <v>45841</v>
      </c>
      <c r="E113" t="s">
        <v>267</v>
      </c>
    </row>
    <row r="114" spans="1:5" x14ac:dyDescent="0.25">
      <c r="A114" t="s">
        <v>379</v>
      </c>
      <c r="B114" t="s">
        <v>118</v>
      </c>
      <c r="C114" s="1">
        <v>46042</v>
      </c>
      <c r="D114" s="1">
        <v>46055</v>
      </c>
      <c r="E114" t="s">
        <v>139</v>
      </c>
    </row>
    <row r="115" spans="1:5" x14ac:dyDescent="0.25">
      <c r="A115" t="s">
        <v>380</v>
      </c>
      <c r="B115" t="s">
        <v>52</v>
      </c>
      <c r="C115" s="1">
        <v>45912</v>
      </c>
      <c r="D115" s="1">
        <v>45917</v>
      </c>
      <c r="E115" t="s">
        <v>267</v>
      </c>
    </row>
    <row r="116" spans="1:5" x14ac:dyDescent="0.25">
      <c r="A116" t="s">
        <v>381</v>
      </c>
      <c r="B116" t="s">
        <v>99</v>
      </c>
      <c r="C116" s="1">
        <v>45876</v>
      </c>
      <c r="D116" s="1">
        <v>45887</v>
      </c>
      <c r="E116" t="s">
        <v>269</v>
      </c>
    </row>
    <row r="117" spans="1:5" x14ac:dyDescent="0.25">
      <c r="A117" t="s">
        <v>382</v>
      </c>
      <c r="B117" t="s">
        <v>60</v>
      </c>
      <c r="C117" s="1">
        <v>45944</v>
      </c>
      <c r="D117" s="1">
        <v>45947</v>
      </c>
      <c r="E117" t="s">
        <v>267</v>
      </c>
    </row>
    <row r="118" spans="1:5" x14ac:dyDescent="0.25">
      <c r="A118" t="s">
        <v>383</v>
      </c>
      <c r="B118" t="s">
        <v>60</v>
      </c>
      <c r="C118" s="1">
        <v>45967</v>
      </c>
      <c r="D118" s="1">
        <v>45970</v>
      </c>
      <c r="E118" t="s">
        <v>267</v>
      </c>
    </row>
    <row r="119" spans="1:5" x14ac:dyDescent="0.25">
      <c r="A119" t="s">
        <v>384</v>
      </c>
      <c r="B119" t="s">
        <v>128</v>
      </c>
      <c r="C119" s="1">
        <v>45778</v>
      </c>
      <c r="D119" s="1">
        <v>45783</v>
      </c>
      <c r="E119" t="s">
        <v>267</v>
      </c>
    </row>
    <row r="120" spans="1:5" x14ac:dyDescent="0.25">
      <c r="A120" t="s">
        <v>385</v>
      </c>
      <c r="B120" t="s">
        <v>84</v>
      </c>
      <c r="C120" s="1">
        <v>45815</v>
      </c>
      <c r="D120" s="1">
        <v>45827</v>
      </c>
      <c r="E120" t="s">
        <v>267</v>
      </c>
    </row>
    <row r="121" spans="1:5" x14ac:dyDescent="0.25">
      <c r="A121" t="s">
        <v>386</v>
      </c>
      <c r="B121" t="s">
        <v>54</v>
      </c>
      <c r="C121" s="1">
        <v>45995</v>
      </c>
      <c r="D121" s="1">
        <v>46000</v>
      </c>
      <c r="E121" t="s">
        <v>139</v>
      </c>
    </row>
    <row r="122" spans="1:5" x14ac:dyDescent="0.25">
      <c r="A122" t="s">
        <v>387</v>
      </c>
      <c r="B122" t="s">
        <v>101</v>
      </c>
      <c r="C122" s="1">
        <v>45909</v>
      </c>
      <c r="D122" s="1">
        <v>45914</v>
      </c>
      <c r="E122" t="s">
        <v>267</v>
      </c>
    </row>
    <row r="123" spans="1:5" x14ac:dyDescent="0.25">
      <c r="A123" t="s">
        <v>388</v>
      </c>
      <c r="B123" t="s">
        <v>99</v>
      </c>
      <c r="C123" s="1">
        <v>45968</v>
      </c>
      <c r="D123" s="1">
        <v>45972</v>
      </c>
      <c r="E123" t="s">
        <v>267</v>
      </c>
    </row>
    <row r="124" spans="1:5" x14ac:dyDescent="0.25">
      <c r="A124" t="s">
        <v>389</v>
      </c>
      <c r="B124" t="s">
        <v>73</v>
      </c>
      <c r="C124" s="1">
        <v>45934</v>
      </c>
      <c r="D124" s="1">
        <v>45945</v>
      </c>
      <c r="E124" t="s">
        <v>139</v>
      </c>
    </row>
    <row r="125" spans="1:5" x14ac:dyDescent="0.25">
      <c r="A125" t="s">
        <v>390</v>
      </c>
      <c r="B125" t="s">
        <v>46</v>
      </c>
      <c r="C125" s="1">
        <v>46003</v>
      </c>
      <c r="D125" s="1">
        <v>46017</v>
      </c>
      <c r="E125" t="s">
        <v>269</v>
      </c>
    </row>
    <row r="126" spans="1:5" x14ac:dyDescent="0.25">
      <c r="A126" t="s">
        <v>391</v>
      </c>
      <c r="B126" t="s">
        <v>15</v>
      </c>
      <c r="C126" s="1">
        <v>45907</v>
      </c>
      <c r="D126" s="1">
        <v>45921</v>
      </c>
      <c r="E126" t="s">
        <v>269</v>
      </c>
    </row>
    <row r="127" spans="1:5" x14ac:dyDescent="0.25">
      <c r="A127" t="s">
        <v>392</v>
      </c>
      <c r="B127" t="s">
        <v>78</v>
      </c>
      <c r="C127" s="1">
        <v>45867</v>
      </c>
      <c r="D127" s="1">
        <v>45871</v>
      </c>
      <c r="E127" t="s">
        <v>139</v>
      </c>
    </row>
    <row r="128" spans="1:5" x14ac:dyDescent="0.25">
      <c r="A128" t="s">
        <v>393</v>
      </c>
      <c r="B128" t="s">
        <v>110</v>
      </c>
      <c r="C128" s="1">
        <v>45957</v>
      </c>
      <c r="D128" s="1">
        <v>45963</v>
      </c>
      <c r="E128" t="s">
        <v>269</v>
      </c>
    </row>
    <row r="129" spans="1:5" x14ac:dyDescent="0.25">
      <c r="A129" t="s">
        <v>394</v>
      </c>
      <c r="B129" t="s">
        <v>84</v>
      </c>
      <c r="C129" s="1">
        <v>45931</v>
      </c>
      <c r="D129" s="1">
        <v>45945</v>
      </c>
      <c r="E129" t="s">
        <v>139</v>
      </c>
    </row>
    <row r="130" spans="1:5" x14ac:dyDescent="0.25">
      <c r="A130" t="s">
        <v>395</v>
      </c>
      <c r="B130" t="s">
        <v>104</v>
      </c>
      <c r="C130" s="1">
        <v>45887</v>
      </c>
      <c r="D130" s="1">
        <v>45897</v>
      </c>
      <c r="E130" t="s">
        <v>139</v>
      </c>
    </row>
    <row r="131" spans="1:5" x14ac:dyDescent="0.25">
      <c r="A131" t="s">
        <v>396</v>
      </c>
      <c r="B131" t="s">
        <v>18</v>
      </c>
      <c r="C131" s="1">
        <v>46000</v>
      </c>
      <c r="D131" s="1">
        <v>46005</v>
      </c>
      <c r="E131" t="s">
        <v>267</v>
      </c>
    </row>
    <row r="132" spans="1:5" x14ac:dyDescent="0.25">
      <c r="A132" t="s">
        <v>397</v>
      </c>
      <c r="B132" t="s">
        <v>104</v>
      </c>
      <c r="C132" s="1">
        <v>45883</v>
      </c>
      <c r="D132" s="1">
        <v>45896</v>
      </c>
      <c r="E132" t="s">
        <v>267</v>
      </c>
    </row>
    <row r="133" spans="1:5" x14ac:dyDescent="0.25">
      <c r="A133" t="s">
        <v>398</v>
      </c>
      <c r="B133" t="s">
        <v>43</v>
      </c>
      <c r="C133" s="1">
        <v>46029</v>
      </c>
      <c r="D133" s="1">
        <v>46042</v>
      </c>
      <c r="E133" t="s">
        <v>139</v>
      </c>
    </row>
    <row r="134" spans="1:5" x14ac:dyDescent="0.25">
      <c r="A134" t="s">
        <v>399</v>
      </c>
      <c r="B134" t="s">
        <v>40</v>
      </c>
      <c r="C134" s="1">
        <v>45910</v>
      </c>
      <c r="D134" s="1">
        <v>45924</v>
      </c>
      <c r="E134" t="s">
        <v>269</v>
      </c>
    </row>
    <row r="135" spans="1:5" x14ac:dyDescent="0.25">
      <c r="A135" t="s">
        <v>400</v>
      </c>
      <c r="B135" t="s">
        <v>8</v>
      </c>
      <c r="C135" s="1">
        <v>45800</v>
      </c>
      <c r="D135" s="1">
        <v>45812</v>
      </c>
      <c r="E135" t="s">
        <v>269</v>
      </c>
    </row>
    <row r="136" spans="1:5" x14ac:dyDescent="0.25">
      <c r="A136" t="s">
        <v>401</v>
      </c>
      <c r="B136" t="s">
        <v>101</v>
      </c>
      <c r="C136" s="1">
        <v>45911</v>
      </c>
      <c r="D136" s="1">
        <v>45925</v>
      </c>
      <c r="E136" t="s">
        <v>269</v>
      </c>
    </row>
    <row r="137" spans="1:5" x14ac:dyDescent="0.25">
      <c r="A137" t="s">
        <v>402</v>
      </c>
      <c r="B137" t="s">
        <v>69</v>
      </c>
      <c r="C137" s="1">
        <v>45883</v>
      </c>
      <c r="D137" s="1">
        <v>45893</v>
      </c>
      <c r="E137" t="s">
        <v>269</v>
      </c>
    </row>
    <row r="138" spans="1:5" x14ac:dyDescent="0.25">
      <c r="A138" t="s">
        <v>403</v>
      </c>
      <c r="B138" t="s">
        <v>24</v>
      </c>
      <c r="C138" s="1">
        <v>45904</v>
      </c>
      <c r="D138" s="1">
        <v>45909</v>
      </c>
      <c r="E138" t="s">
        <v>269</v>
      </c>
    </row>
    <row r="139" spans="1:5" x14ac:dyDescent="0.25">
      <c r="A139" t="s">
        <v>404</v>
      </c>
      <c r="B139" t="s">
        <v>56</v>
      </c>
      <c r="C139" s="1">
        <v>45940</v>
      </c>
      <c r="D139" s="1">
        <v>45948</v>
      </c>
      <c r="E139" t="s">
        <v>267</v>
      </c>
    </row>
    <row r="140" spans="1:5" x14ac:dyDescent="0.25">
      <c r="A140" t="s">
        <v>405</v>
      </c>
      <c r="B140" t="s">
        <v>63</v>
      </c>
      <c r="C140" s="1">
        <v>45959</v>
      </c>
      <c r="D140" s="1">
        <v>45971</v>
      </c>
      <c r="E140" t="s">
        <v>139</v>
      </c>
    </row>
    <row r="141" spans="1:5" x14ac:dyDescent="0.25">
      <c r="A141" t="s">
        <v>406</v>
      </c>
      <c r="B141" t="s">
        <v>30</v>
      </c>
      <c r="C141" s="1">
        <v>45863</v>
      </c>
      <c r="D141" s="1">
        <v>45866</v>
      </c>
      <c r="E141" t="s">
        <v>267</v>
      </c>
    </row>
    <row r="142" spans="1:5" x14ac:dyDescent="0.25">
      <c r="A142" t="s">
        <v>407</v>
      </c>
      <c r="B142" t="s">
        <v>110</v>
      </c>
      <c r="C142" s="1">
        <v>45856</v>
      </c>
      <c r="D142" s="1">
        <v>45866</v>
      </c>
      <c r="E142" t="s">
        <v>269</v>
      </c>
    </row>
    <row r="143" spans="1:5" x14ac:dyDescent="0.25">
      <c r="A143" t="s">
        <v>408</v>
      </c>
      <c r="B143" t="s">
        <v>118</v>
      </c>
      <c r="C143" s="1">
        <v>45944</v>
      </c>
      <c r="D143" s="1">
        <v>45947</v>
      </c>
      <c r="E143" t="s">
        <v>267</v>
      </c>
    </row>
    <row r="144" spans="1:5" x14ac:dyDescent="0.25">
      <c r="A144" t="s">
        <v>409</v>
      </c>
      <c r="B144" t="s">
        <v>91</v>
      </c>
      <c r="C144" s="1">
        <v>45923</v>
      </c>
      <c r="D144" s="1">
        <v>45931</v>
      </c>
      <c r="E144" t="s">
        <v>139</v>
      </c>
    </row>
    <row r="145" spans="1:5" x14ac:dyDescent="0.25">
      <c r="A145" t="s">
        <v>410</v>
      </c>
      <c r="B145" t="s">
        <v>21</v>
      </c>
      <c r="C145" s="1">
        <v>45930</v>
      </c>
      <c r="D145" s="1">
        <v>45934</v>
      </c>
      <c r="E145" t="s">
        <v>269</v>
      </c>
    </row>
    <row r="146" spans="1:5" x14ac:dyDescent="0.25">
      <c r="A146" t="s">
        <v>411</v>
      </c>
      <c r="B146" t="s">
        <v>50</v>
      </c>
      <c r="C146" s="1">
        <v>45828</v>
      </c>
      <c r="D146" s="1">
        <v>45837</v>
      </c>
      <c r="E146" t="s">
        <v>267</v>
      </c>
    </row>
    <row r="147" spans="1:5" x14ac:dyDescent="0.25">
      <c r="A147" t="s">
        <v>412</v>
      </c>
      <c r="B147" t="s">
        <v>65</v>
      </c>
      <c r="C147" s="1">
        <v>45877</v>
      </c>
      <c r="D147" s="1">
        <v>45890</v>
      </c>
      <c r="E147" t="s">
        <v>267</v>
      </c>
    </row>
    <row r="148" spans="1:5" x14ac:dyDescent="0.25">
      <c r="A148" t="s">
        <v>413</v>
      </c>
      <c r="B148" t="s">
        <v>112</v>
      </c>
      <c r="C148" s="1">
        <v>45990</v>
      </c>
      <c r="D148" s="1">
        <v>45996</v>
      </c>
      <c r="E148" t="s">
        <v>267</v>
      </c>
    </row>
    <row r="149" spans="1:5" x14ac:dyDescent="0.25">
      <c r="A149" t="s">
        <v>414</v>
      </c>
      <c r="B149" t="s">
        <v>87</v>
      </c>
      <c r="C149" s="1">
        <v>46005</v>
      </c>
      <c r="D149" s="1">
        <v>46008</v>
      </c>
      <c r="E149" t="s">
        <v>267</v>
      </c>
    </row>
    <row r="150" spans="1:5" x14ac:dyDescent="0.25">
      <c r="A150" t="s">
        <v>415</v>
      </c>
      <c r="B150" t="s">
        <v>95</v>
      </c>
      <c r="C150" s="1">
        <v>46021</v>
      </c>
      <c r="D150" s="1">
        <v>46028</v>
      </c>
      <c r="E150" t="s">
        <v>269</v>
      </c>
    </row>
    <row r="151" spans="1:5" x14ac:dyDescent="0.25">
      <c r="A151" t="s">
        <v>416</v>
      </c>
      <c r="B151" t="s">
        <v>60</v>
      </c>
      <c r="C151" s="1">
        <v>45785</v>
      </c>
      <c r="D151" s="1">
        <v>45798</v>
      </c>
      <c r="E151" t="s">
        <v>269</v>
      </c>
    </row>
    <row r="152" spans="1:5" x14ac:dyDescent="0.25">
      <c r="A152" t="s">
        <v>417</v>
      </c>
      <c r="B152" t="s">
        <v>101</v>
      </c>
      <c r="C152" s="1">
        <v>45938</v>
      </c>
      <c r="D152" s="1">
        <v>45946</v>
      </c>
      <c r="E152" t="s">
        <v>267</v>
      </c>
    </row>
    <row r="153" spans="1:5" x14ac:dyDescent="0.25">
      <c r="A153" t="s">
        <v>418</v>
      </c>
      <c r="B153" t="s">
        <v>21</v>
      </c>
      <c r="C153" s="1">
        <v>45949</v>
      </c>
      <c r="D153" s="1">
        <v>45963</v>
      </c>
      <c r="E153" t="s">
        <v>267</v>
      </c>
    </row>
    <row r="154" spans="1:5" x14ac:dyDescent="0.25">
      <c r="A154" t="s">
        <v>419</v>
      </c>
      <c r="B154" t="s">
        <v>114</v>
      </c>
      <c r="C154" s="1">
        <v>45893</v>
      </c>
      <c r="D154" s="1">
        <v>45907</v>
      </c>
      <c r="E154" t="s">
        <v>269</v>
      </c>
    </row>
    <row r="155" spans="1:5" x14ac:dyDescent="0.25">
      <c r="A155" t="s">
        <v>420</v>
      </c>
      <c r="B155" t="s">
        <v>40</v>
      </c>
      <c r="C155" s="1">
        <v>45926</v>
      </c>
      <c r="D155" s="1">
        <v>45934</v>
      </c>
      <c r="E155" t="s">
        <v>139</v>
      </c>
    </row>
    <row r="156" spans="1:5" x14ac:dyDescent="0.25">
      <c r="A156" t="s">
        <v>421</v>
      </c>
      <c r="B156" t="s">
        <v>114</v>
      </c>
      <c r="C156" s="1">
        <v>45875</v>
      </c>
      <c r="D156" s="1">
        <v>45886</v>
      </c>
      <c r="E156" t="s">
        <v>139</v>
      </c>
    </row>
    <row r="157" spans="1:5" x14ac:dyDescent="0.25">
      <c r="A157" t="s">
        <v>422</v>
      </c>
      <c r="B157" t="s">
        <v>50</v>
      </c>
      <c r="C157" s="1">
        <v>46001</v>
      </c>
      <c r="D157" s="1">
        <v>46005</v>
      </c>
      <c r="E157" t="s">
        <v>267</v>
      </c>
    </row>
    <row r="158" spans="1:5" x14ac:dyDescent="0.25">
      <c r="A158" t="s">
        <v>423</v>
      </c>
      <c r="B158" t="s">
        <v>27</v>
      </c>
      <c r="C158" s="1">
        <v>45867</v>
      </c>
      <c r="D158" s="1">
        <v>45876</v>
      </c>
      <c r="E158" t="s">
        <v>269</v>
      </c>
    </row>
    <row r="159" spans="1:5" x14ac:dyDescent="0.25">
      <c r="A159" t="s">
        <v>424</v>
      </c>
      <c r="B159" t="s">
        <v>82</v>
      </c>
      <c r="C159" s="1">
        <v>45895</v>
      </c>
      <c r="D159" s="1">
        <v>45904</v>
      </c>
      <c r="E159" t="s">
        <v>139</v>
      </c>
    </row>
    <row r="160" spans="1:5" x14ac:dyDescent="0.25">
      <c r="A160" t="s">
        <v>425</v>
      </c>
      <c r="B160" t="s">
        <v>91</v>
      </c>
      <c r="C160" s="1">
        <v>45826</v>
      </c>
      <c r="D160" s="1">
        <v>45837</v>
      </c>
      <c r="E160" t="s">
        <v>139</v>
      </c>
    </row>
    <row r="161" spans="1:5" x14ac:dyDescent="0.25">
      <c r="A161" t="s">
        <v>426</v>
      </c>
      <c r="B161" t="s">
        <v>122</v>
      </c>
      <c r="C161" s="1">
        <v>45914</v>
      </c>
      <c r="D161" s="1">
        <v>45926</v>
      </c>
      <c r="E161" t="s">
        <v>139</v>
      </c>
    </row>
    <row r="162" spans="1:5" x14ac:dyDescent="0.25">
      <c r="A162" t="s">
        <v>427</v>
      </c>
      <c r="B162" t="s">
        <v>89</v>
      </c>
      <c r="C162" s="1">
        <v>45957</v>
      </c>
      <c r="D162" s="1">
        <v>45964</v>
      </c>
      <c r="E162" t="s">
        <v>267</v>
      </c>
    </row>
    <row r="163" spans="1:5" x14ac:dyDescent="0.25">
      <c r="A163" t="s">
        <v>428</v>
      </c>
      <c r="B163" t="s">
        <v>95</v>
      </c>
      <c r="C163" s="1">
        <v>45848</v>
      </c>
      <c r="D163" s="1">
        <v>45862</v>
      </c>
      <c r="E163" t="s">
        <v>139</v>
      </c>
    </row>
    <row r="164" spans="1:5" x14ac:dyDescent="0.25">
      <c r="A164" t="s">
        <v>429</v>
      </c>
      <c r="B164" t="s">
        <v>110</v>
      </c>
      <c r="C164" s="1">
        <v>45830</v>
      </c>
      <c r="D164" s="1">
        <v>45835</v>
      </c>
      <c r="E164" t="s">
        <v>139</v>
      </c>
    </row>
    <row r="165" spans="1:5" x14ac:dyDescent="0.25">
      <c r="A165" t="s">
        <v>430</v>
      </c>
      <c r="B165" t="s">
        <v>69</v>
      </c>
      <c r="C165" s="1">
        <v>45999</v>
      </c>
      <c r="D165" s="1">
        <v>46002</v>
      </c>
      <c r="E165" t="s">
        <v>267</v>
      </c>
    </row>
    <row r="166" spans="1:5" x14ac:dyDescent="0.25">
      <c r="A166" t="s">
        <v>431</v>
      </c>
      <c r="B166" t="s">
        <v>24</v>
      </c>
      <c r="C166" s="1">
        <v>45883</v>
      </c>
      <c r="D166" s="1">
        <v>45896</v>
      </c>
      <c r="E166" t="s">
        <v>269</v>
      </c>
    </row>
    <row r="167" spans="1:5" x14ac:dyDescent="0.25">
      <c r="A167" t="s">
        <v>432</v>
      </c>
      <c r="B167" t="s">
        <v>60</v>
      </c>
      <c r="C167" s="1">
        <v>45835</v>
      </c>
      <c r="D167" s="1">
        <v>45845</v>
      </c>
      <c r="E167" t="s">
        <v>269</v>
      </c>
    </row>
    <row r="168" spans="1:5" x14ac:dyDescent="0.25">
      <c r="A168" t="s">
        <v>433</v>
      </c>
      <c r="B168" t="s">
        <v>106</v>
      </c>
      <c r="C168" s="1">
        <v>45905</v>
      </c>
      <c r="D168" s="1">
        <v>45912</v>
      </c>
      <c r="E168" t="s">
        <v>139</v>
      </c>
    </row>
    <row r="169" spans="1:5" x14ac:dyDescent="0.25">
      <c r="A169" t="s">
        <v>434</v>
      </c>
      <c r="B169" t="s">
        <v>50</v>
      </c>
      <c r="C169" s="1">
        <v>45892</v>
      </c>
      <c r="D169" s="1">
        <v>45895</v>
      </c>
      <c r="E169" t="s">
        <v>269</v>
      </c>
    </row>
    <row r="170" spans="1:5" x14ac:dyDescent="0.25">
      <c r="A170" t="s">
        <v>435</v>
      </c>
      <c r="B170" t="s">
        <v>114</v>
      </c>
      <c r="C170" s="1">
        <v>46038</v>
      </c>
      <c r="D170" s="1">
        <v>46051</v>
      </c>
      <c r="E170" t="s">
        <v>267</v>
      </c>
    </row>
    <row r="171" spans="1:5" x14ac:dyDescent="0.25">
      <c r="A171" t="s">
        <v>436</v>
      </c>
      <c r="B171" t="s">
        <v>69</v>
      </c>
      <c r="C171" s="1">
        <v>45901</v>
      </c>
      <c r="D171" s="1">
        <v>45905</v>
      </c>
      <c r="E171" t="s">
        <v>269</v>
      </c>
    </row>
    <row r="172" spans="1:5" x14ac:dyDescent="0.25">
      <c r="A172" t="s">
        <v>437</v>
      </c>
      <c r="B172" t="s">
        <v>69</v>
      </c>
      <c r="C172" s="1">
        <v>45873</v>
      </c>
      <c r="D172" s="1">
        <v>45876</v>
      </c>
      <c r="E172" t="s">
        <v>267</v>
      </c>
    </row>
    <row r="173" spans="1:5" x14ac:dyDescent="0.25">
      <c r="A173" t="s">
        <v>438</v>
      </c>
      <c r="B173" t="s">
        <v>63</v>
      </c>
      <c r="C173" s="1">
        <v>45962</v>
      </c>
      <c r="D173" s="1">
        <v>45970</v>
      </c>
      <c r="E173" t="s">
        <v>139</v>
      </c>
    </row>
    <row r="174" spans="1:5" x14ac:dyDescent="0.25">
      <c r="A174" t="s">
        <v>439</v>
      </c>
      <c r="B174" t="s">
        <v>18</v>
      </c>
      <c r="C174" s="1">
        <v>45962</v>
      </c>
      <c r="D174" s="1">
        <v>45973</v>
      </c>
      <c r="E174" t="s">
        <v>269</v>
      </c>
    </row>
    <row r="175" spans="1:5" x14ac:dyDescent="0.25">
      <c r="A175" t="s">
        <v>440</v>
      </c>
      <c r="B175" t="s">
        <v>38</v>
      </c>
      <c r="C175" s="1">
        <v>45853</v>
      </c>
      <c r="D175" s="1">
        <v>45865</v>
      </c>
      <c r="E175" t="s">
        <v>269</v>
      </c>
    </row>
    <row r="176" spans="1:5" x14ac:dyDescent="0.25">
      <c r="A176" t="s">
        <v>441</v>
      </c>
      <c r="B176" t="s">
        <v>21</v>
      </c>
      <c r="C176" s="1">
        <v>45789</v>
      </c>
      <c r="D176" s="1">
        <v>45795</v>
      </c>
      <c r="E176" t="s">
        <v>267</v>
      </c>
    </row>
    <row r="177" spans="1:5" x14ac:dyDescent="0.25">
      <c r="A177" t="s">
        <v>442</v>
      </c>
      <c r="B177" t="s">
        <v>43</v>
      </c>
      <c r="C177" s="1">
        <v>45801</v>
      </c>
      <c r="D177" s="1">
        <v>45810</v>
      </c>
      <c r="E177" t="s">
        <v>267</v>
      </c>
    </row>
    <row r="178" spans="1:5" x14ac:dyDescent="0.25">
      <c r="A178" t="s">
        <v>443</v>
      </c>
      <c r="B178" t="s">
        <v>32</v>
      </c>
      <c r="C178" s="1">
        <v>45887</v>
      </c>
      <c r="D178" s="1">
        <v>45890</v>
      </c>
      <c r="E178" t="s">
        <v>267</v>
      </c>
    </row>
    <row r="179" spans="1:5" x14ac:dyDescent="0.25">
      <c r="A179" t="s">
        <v>444</v>
      </c>
      <c r="B179" t="s">
        <v>65</v>
      </c>
      <c r="C179" s="1">
        <v>45935</v>
      </c>
      <c r="D179" s="1">
        <v>45948</v>
      </c>
      <c r="E179" t="s">
        <v>267</v>
      </c>
    </row>
    <row r="180" spans="1:5" x14ac:dyDescent="0.25">
      <c r="A180" t="s">
        <v>445</v>
      </c>
      <c r="B180" t="s">
        <v>58</v>
      </c>
      <c r="C180" s="1">
        <v>45905</v>
      </c>
      <c r="D180" s="1">
        <v>45911</v>
      </c>
      <c r="E180" t="s">
        <v>267</v>
      </c>
    </row>
    <row r="181" spans="1:5" x14ac:dyDescent="0.25">
      <c r="A181" t="s">
        <v>446</v>
      </c>
      <c r="B181" t="s">
        <v>110</v>
      </c>
      <c r="C181" s="1">
        <v>45933</v>
      </c>
      <c r="D181" s="1">
        <v>45938</v>
      </c>
      <c r="E181" t="s">
        <v>267</v>
      </c>
    </row>
    <row r="182" spans="1:5" x14ac:dyDescent="0.25">
      <c r="A182" t="s">
        <v>447</v>
      </c>
      <c r="B182" t="s">
        <v>114</v>
      </c>
      <c r="C182" s="1">
        <v>46013</v>
      </c>
      <c r="D182" s="1">
        <v>46021</v>
      </c>
      <c r="E182" t="s">
        <v>139</v>
      </c>
    </row>
    <row r="183" spans="1:5" x14ac:dyDescent="0.25">
      <c r="A183" t="s">
        <v>448</v>
      </c>
      <c r="B183" t="s">
        <v>108</v>
      </c>
      <c r="C183" s="1">
        <v>46000</v>
      </c>
      <c r="D183" s="1">
        <v>46014</v>
      </c>
      <c r="E183" t="s">
        <v>267</v>
      </c>
    </row>
    <row r="184" spans="1:5" x14ac:dyDescent="0.25">
      <c r="A184" t="s">
        <v>449</v>
      </c>
      <c r="B184" t="s">
        <v>91</v>
      </c>
      <c r="C184" s="1">
        <v>45959</v>
      </c>
      <c r="D184" s="1">
        <v>45970</v>
      </c>
      <c r="E184" t="s">
        <v>267</v>
      </c>
    </row>
    <row r="185" spans="1:5" x14ac:dyDescent="0.25">
      <c r="A185" t="s">
        <v>450</v>
      </c>
      <c r="B185" t="s">
        <v>65</v>
      </c>
      <c r="C185" s="1">
        <v>45817</v>
      </c>
      <c r="D185" s="1">
        <v>45828</v>
      </c>
      <c r="E185" t="s">
        <v>139</v>
      </c>
    </row>
    <row r="186" spans="1:5" x14ac:dyDescent="0.25">
      <c r="A186" t="s">
        <v>451</v>
      </c>
      <c r="B186" t="s">
        <v>67</v>
      </c>
      <c r="C186" s="1">
        <v>45851</v>
      </c>
      <c r="D186" s="1">
        <v>45864</v>
      </c>
      <c r="E186" t="s">
        <v>139</v>
      </c>
    </row>
    <row r="187" spans="1:5" x14ac:dyDescent="0.25">
      <c r="A187" t="s">
        <v>452</v>
      </c>
      <c r="B187" t="s">
        <v>32</v>
      </c>
      <c r="C187" s="1">
        <v>46035</v>
      </c>
      <c r="D187" s="1">
        <v>46045</v>
      </c>
      <c r="E187" t="s">
        <v>267</v>
      </c>
    </row>
    <row r="188" spans="1:5" x14ac:dyDescent="0.25">
      <c r="A188" t="s">
        <v>453</v>
      </c>
      <c r="B188" t="s">
        <v>122</v>
      </c>
      <c r="C188" s="1">
        <v>45894</v>
      </c>
      <c r="D188" s="1">
        <v>45900</v>
      </c>
      <c r="E188" t="s">
        <v>267</v>
      </c>
    </row>
    <row r="189" spans="1:5" x14ac:dyDescent="0.25">
      <c r="A189" t="s">
        <v>454</v>
      </c>
      <c r="B189" t="s">
        <v>75</v>
      </c>
      <c r="C189" s="1">
        <v>45993</v>
      </c>
      <c r="D189" s="1">
        <v>46000</v>
      </c>
      <c r="E189" t="s">
        <v>139</v>
      </c>
    </row>
    <row r="190" spans="1:5" x14ac:dyDescent="0.25">
      <c r="A190" t="s">
        <v>455</v>
      </c>
      <c r="B190" t="s">
        <v>27</v>
      </c>
      <c r="C190" s="1">
        <v>45914</v>
      </c>
      <c r="D190" s="1">
        <v>45928</v>
      </c>
      <c r="E190" t="s">
        <v>267</v>
      </c>
    </row>
    <row r="191" spans="1:5" x14ac:dyDescent="0.25">
      <c r="A191" t="s">
        <v>456</v>
      </c>
      <c r="B191" t="s">
        <v>73</v>
      </c>
      <c r="C191" s="1">
        <v>45951</v>
      </c>
      <c r="D191" s="1">
        <v>45962</v>
      </c>
      <c r="E191" t="s">
        <v>269</v>
      </c>
    </row>
    <row r="192" spans="1:5" x14ac:dyDescent="0.25">
      <c r="A192" t="s">
        <v>457</v>
      </c>
      <c r="B192" t="s">
        <v>21</v>
      </c>
      <c r="C192" s="1">
        <v>45986</v>
      </c>
      <c r="D192" s="1">
        <v>46000</v>
      </c>
      <c r="E192" t="s">
        <v>139</v>
      </c>
    </row>
    <row r="193" spans="1:5" x14ac:dyDescent="0.25">
      <c r="A193" t="s">
        <v>458</v>
      </c>
      <c r="B193" t="s">
        <v>52</v>
      </c>
      <c r="C193" s="1">
        <v>45786</v>
      </c>
      <c r="D193" s="1">
        <v>45798</v>
      </c>
      <c r="E193" t="s">
        <v>269</v>
      </c>
    </row>
    <row r="194" spans="1:5" x14ac:dyDescent="0.25">
      <c r="A194" t="s">
        <v>459</v>
      </c>
      <c r="B194" t="s">
        <v>78</v>
      </c>
      <c r="C194" s="1">
        <v>46035</v>
      </c>
      <c r="D194" s="1">
        <v>46048</v>
      </c>
      <c r="E194" t="s">
        <v>267</v>
      </c>
    </row>
    <row r="195" spans="1:5" x14ac:dyDescent="0.25">
      <c r="A195" t="s">
        <v>460</v>
      </c>
      <c r="B195" t="s">
        <v>12</v>
      </c>
      <c r="C195" s="1">
        <v>45844</v>
      </c>
      <c r="D195" s="1">
        <v>45858</v>
      </c>
      <c r="E195" t="s">
        <v>269</v>
      </c>
    </row>
    <row r="196" spans="1:5" x14ac:dyDescent="0.25">
      <c r="A196" t="s">
        <v>461</v>
      </c>
      <c r="B196" t="s">
        <v>21</v>
      </c>
      <c r="C196" s="1">
        <v>45855</v>
      </c>
      <c r="D196" s="1">
        <v>45862</v>
      </c>
      <c r="E196" t="s">
        <v>267</v>
      </c>
    </row>
    <row r="197" spans="1:5" x14ac:dyDescent="0.25">
      <c r="A197" t="s">
        <v>462</v>
      </c>
      <c r="B197" t="s">
        <v>80</v>
      </c>
      <c r="C197" s="1">
        <v>45964</v>
      </c>
      <c r="D197" s="1">
        <v>45968</v>
      </c>
      <c r="E197" t="s">
        <v>139</v>
      </c>
    </row>
    <row r="198" spans="1:5" x14ac:dyDescent="0.25">
      <c r="A198" t="s">
        <v>463</v>
      </c>
      <c r="B198" t="s">
        <v>36</v>
      </c>
      <c r="C198" s="1">
        <v>45803</v>
      </c>
      <c r="D198" s="1">
        <v>45812</v>
      </c>
      <c r="E198" t="s">
        <v>269</v>
      </c>
    </row>
    <row r="199" spans="1:5" x14ac:dyDescent="0.25">
      <c r="A199" t="s">
        <v>464</v>
      </c>
      <c r="B199" t="s">
        <v>15</v>
      </c>
      <c r="C199" s="1">
        <v>45784</v>
      </c>
      <c r="D199" s="1">
        <v>45788</v>
      </c>
      <c r="E199" t="s">
        <v>267</v>
      </c>
    </row>
    <row r="200" spans="1:5" x14ac:dyDescent="0.25">
      <c r="A200" t="s">
        <v>465</v>
      </c>
      <c r="B200" t="s">
        <v>58</v>
      </c>
      <c r="C200" s="1">
        <v>45912</v>
      </c>
      <c r="D200" s="1">
        <v>45917</v>
      </c>
      <c r="E200" t="s">
        <v>269</v>
      </c>
    </row>
    <row r="201" spans="1:5" x14ac:dyDescent="0.25">
      <c r="A201" t="s">
        <v>466</v>
      </c>
      <c r="B201" t="s">
        <v>126</v>
      </c>
      <c r="C201" s="1">
        <v>46016</v>
      </c>
      <c r="D201" s="1">
        <v>46019</v>
      </c>
      <c r="E201" t="s">
        <v>269</v>
      </c>
    </row>
    <row r="202" spans="1:5" x14ac:dyDescent="0.25">
      <c r="A202" t="s">
        <v>467</v>
      </c>
      <c r="B202" t="s">
        <v>91</v>
      </c>
      <c r="C202" s="1">
        <v>45813</v>
      </c>
      <c r="D202" s="1">
        <v>45826</v>
      </c>
      <c r="E202" t="s">
        <v>267</v>
      </c>
    </row>
    <row r="203" spans="1:5" x14ac:dyDescent="0.25">
      <c r="A203" t="s">
        <v>468</v>
      </c>
      <c r="B203" t="s">
        <v>120</v>
      </c>
      <c r="C203" s="1">
        <v>45861</v>
      </c>
      <c r="D203" s="1">
        <v>45869</v>
      </c>
      <c r="E203" t="s">
        <v>269</v>
      </c>
    </row>
    <row r="204" spans="1:5" x14ac:dyDescent="0.25">
      <c r="A204" t="s">
        <v>469</v>
      </c>
      <c r="B204" t="s">
        <v>34</v>
      </c>
      <c r="C204" s="1">
        <v>45844</v>
      </c>
      <c r="D204" s="1">
        <v>45848</v>
      </c>
      <c r="E204" t="s">
        <v>267</v>
      </c>
    </row>
    <row r="205" spans="1:5" x14ac:dyDescent="0.25">
      <c r="A205" t="s">
        <v>470</v>
      </c>
      <c r="B205" t="s">
        <v>114</v>
      </c>
      <c r="C205" s="1">
        <v>46003</v>
      </c>
      <c r="D205" s="1">
        <v>46008</v>
      </c>
      <c r="E205" t="s">
        <v>139</v>
      </c>
    </row>
    <row r="206" spans="1:5" x14ac:dyDescent="0.25">
      <c r="A206" t="s">
        <v>471</v>
      </c>
      <c r="B206" t="s">
        <v>12</v>
      </c>
      <c r="C206" s="1">
        <v>45869</v>
      </c>
      <c r="D206" s="1">
        <v>45876</v>
      </c>
      <c r="E206" t="s">
        <v>269</v>
      </c>
    </row>
    <row r="207" spans="1:5" x14ac:dyDescent="0.25">
      <c r="A207" t="s">
        <v>472</v>
      </c>
      <c r="B207" t="s">
        <v>93</v>
      </c>
      <c r="C207" s="1">
        <v>45968</v>
      </c>
      <c r="D207" s="1">
        <v>45978</v>
      </c>
      <c r="E207" t="s">
        <v>139</v>
      </c>
    </row>
    <row r="208" spans="1:5" x14ac:dyDescent="0.25">
      <c r="A208" t="s">
        <v>473</v>
      </c>
      <c r="B208" t="s">
        <v>101</v>
      </c>
      <c r="C208" s="1">
        <v>45958</v>
      </c>
      <c r="D208" s="1">
        <v>45961</v>
      </c>
      <c r="E208" t="s">
        <v>139</v>
      </c>
    </row>
    <row r="209" spans="1:5" x14ac:dyDescent="0.25">
      <c r="A209" t="s">
        <v>474</v>
      </c>
      <c r="B209" t="s">
        <v>84</v>
      </c>
      <c r="C209" s="1">
        <v>45939</v>
      </c>
      <c r="D209" s="1">
        <v>45946</v>
      </c>
      <c r="E209" t="s">
        <v>269</v>
      </c>
    </row>
    <row r="210" spans="1:5" x14ac:dyDescent="0.25">
      <c r="A210" t="s">
        <v>475</v>
      </c>
      <c r="B210" t="s">
        <v>89</v>
      </c>
      <c r="C210" s="1">
        <v>45916</v>
      </c>
      <c r="D210" s="1">
        <v>45924</v>
      </c>
      <c r="E210" t="s">
        <v>267</v>
      </c>
    </row>
    <row r="211" spans="1:5" x14ac:dyDescent="0.25">
      <c r="A211" t="s">
        <v>476</v>
      </c>
      <c r="B211" t="s">
        <v>12</v>
      </c>
      <c r="C211" s="1">
        <v>45879</v>
      </c>
      <c r="D211" s="1">
        <v>45891</v>
      </c>
      <c r="E211" t="s">
        <v>269</v>
      </c>
    </row>
    <row r="212" spans="1:5" x14ac:dyDescent="0.25">
      <c r="A212" t="s">
        <v>477</v>
      </c>
      <c r="B212" t="s">
        <v>27</v>
      </c>
      <c r="C212" s="1">
        <v>46052</v>
      </c>
      <c r="D212" s="1">
        <v>46058</v>
      </c>
      <c r="E212" t="s">
        <v>139</v>
      </c>
    </row>
    <row r="213" spans="1:5" x14ac:dyDescent="0.25">
      <c r="A213" t="s">
        <v>478</v>
      </c>
      <c r="B213" t="s">
        <v>52</v>
      </c>
      <c r="C213" s="1">
        <v>45977</v>
      </c>
      <c r="D213" s="1">
        <v>45988</v>
      </c>
      <c r="E213" t="s">
        <v>139</v>
      </c>
    </row>
    <row r="214" spans="1:5" x14ac:dyDescent="0.25">
      <c r="A214" t="s">
        <v>479</v>
      </c>
      <c r="B214" t="s">
        <v>87</v>
      </c>
      <c r="C214" s="1">
        <v>45881</v>
      </c>
      <c r="D214" s="1">
        <v>45890</v>
      </c>
      <c r="E214" t="s">
        <v>267</v>
      </c>
    </row>
    <row r="215" spans="1:5" x14ac:dyDescent="0.25">
      <c r="A215" t="s">
        <v>480</v>
      </c>
      <c r="B215" t="s">
        <v>84</v>
      </c>
      <c r="C215" s="1">
        <v>45916</v>
      </c>
      <c r="D215" s="1">
        <v>45930</v>
      </c>
      <c r="E215" t="s">
        <v>269</v>
      </c>
    </row>
    <row r="216" spans="1:5" x14ac:dyDescent="0.25">
      <c r="A216" t="s">
        <v>481</v>
      </c>
      <c r="B216" t="s">
        <v>40</v>
      </c>
      <c r="C216" s="1">
        <v>45988</v>
      </c>
      <c r="D216" s="1">
        <v>46002</v>
      </c>
      <c r="E216" t="s">
        <v>139</v>
      </c>
    </row>
    <row r="217" spans="1:5" x14ac:dyDescent="0.25">
      <c r="A217" t="s">
        <v>482</v>
      </c>
      <c r="B217" t="s">
        <v>54</v>
      </c>
      <c r="C217" s="1">
        <v>45946</v>
      </c>
      <c r="D217" s="1">
        <v>45960</v>
      </c>
      <c r="E217" t="s">
        <v>269</v>
      </c>
    </row>
    <row r="218" spans="1:5" x14ac:dyDescent="0.25">
      <c r="A218" t="s">
        <v>483</v>
      </c>
      <c r="B218" t="s">
        <v>36</v>
      </c>
      <c r="C218" s="1">
        <v>46000</v>
      </c>
      <c r="D218" s="1">
        <v>46011</v>
      </c>
      <c r="E218" t="s">
        <v>269</v>
      </c>
    </row>
    <row r="219" spans="1:5" x14ac:dyDescent="0.25">
      <c r="A219" t="s">
        <v>484</v>
      </c>
      <c r="B219" t="s">
        <v>80</v>
      </c>
      <c r="C219" s="1">
        <v>45975</v>
      </c>
      <c r="D219" s="1">
        <v>45985</v>
      </c>
      <c r="E219" t="s">
        <v>267</v>
      </c>
    </row>
    <row r="220" spans="1:5" x14ac:dyDescent="0.25">
      <c r="A220" t="s">
        <v>485</v>
      </c>
      <c r="B220" t="s">
        <v>43</v>
      </c>
      <c r="C220" s="1">
        <v>45942</v>
      </c>
      <c r="D220" s="1">
        <v>45946</v>
      </c>
      <c r="E220" t="s">
        <v>139</v>
      </c>
    </row>
    <row r="221" spans="1:5" x14ac:dyDescent="0.25">
      <c r="A221" t="s">
        <v>486</v>
      </c>
      <c r="B221" t="s">
        <v>101</v>
      </c>
      <c r="C221" s="1">
        <v>45992</v>
      </c>
      <c r="D221" s="1">
        <v>46003</v>
      </c>
      <c r="E221" t="s">
        <v>269</v>
      </c>
    </row>
    <row r="222" spans="1:5" x14ac:dyDescent="0.25">
      <c r="A222" t="s">
        <v>487</v>
      </c>
      <c r="B222" t="s">
        <v>60</v>
      </c>
      <c r="C222" s="1">
        <v>45941</v>
      </c>
      <c r="D222" s="1">
        <v>45947</v>
      </c>
      <c r="E222" t="s">
        <v>267</v>
      </c>
    </row>
    <row r="223" spans="1:5" x14ac:dyDescent="0.25">
      <c r="A223" t="s">
        <v>488</v>
      </c>
      <c r="B223" t="s">
        <v>60</v>
      </c>
      <c r="C223" s="1">
        <v>45943</v>
      </c>
      <c r="D223" s="1">
        <v>45952</v>
      </c>
      <c r="E223" t="s">
        <v>139</v>
      </c>
    </row>
    <row r="224" spans="1:5" x14ac:dyDescent="0.25">
      <c r="A224" t="s">
        <v>489</v>
      </c>
      <c r="B224" t="s">
        <v>56</v>
      </c>
      <c r="C224" s="1">
        <v>45925</v>
      </c>
      <c r="D224" s="1">
        <v>45939</v>
      </c>
      <c r="E224" t="s">
        <v>269</v>
      </c>
    </row>
    <row r="225" spans="1:5" x14ac:dyDescent="0.25">
      <c r="A225" t="s">
        <v>490</v>
      </c>
      <c r="B225" t="s">
        <v>118</v>
      </c>
      <c r="C225" s="1">
        <v>46037</v>
      </c>
      <c r="D225" s="1">
        <v>46047</v>
      </c>
      <c r="E225" t="s">
        <v>139</v>
      </c>
    </row>
    <row r="226" spans="1:5" x14ac:dyDescent="0.25">
      <c r="A226" t="s">
        <v>491</v>
      </c>
      <c r="B226" t="s">
        <v>67</v>
      </c>
      <c r="C226" s="1">
        <v>46014</v>
      </c>
      <c r="D226" s="1">
        <v>46019</v>
      </c>
      <c r="E226" t="s">
        <v>267</v>
      </c>
    </row>
    <row r="227" spans="1:5" x14ac:dyDescent="0.25">
      <c r="A227" t="s">
        <v>492</v>
      </c>
      <c r="B227" t="s">
        <v>69</v>
      </c>
      <c r="C227" s="1">
        <v>45885</v>
      </c>
      <c r="D227" s="1">
        <v>45890</v>
      </c>
      <c r="E227" t="s">
        <v>139</v>
      </c>
    </row>
    <row r="228" spans="1:5" x14ac:dyDescent="0.25">
      <c r="A228" t="s">
        <v>493</v>
      </c>
      <c r="B228" t="s">
        <v>48</v>
      </c>
      <c r="C228" s="1">
        <v>45812</v>
      </c>
      <c r="D228" s="1">
        <v>45825</v>
      </c>
      <c r="E228" t="s">
        <v>267</v>
      </c>
    </row>
    <row r="229" spans="1:5" x14ac:dyDescent="0.25">
      <c r="A229" t="s">
        <v>494</v>
      </c>
      <c r="B229" t="s">
        <v>69</v>
      </c>
      <c r="C229" s="1">
        <v>45993</v>
      </c>
      <c r="D229" s="1">
        <v>45999</v>
      </c>
      <c r="E229" t="s">
        <v>269</v>
      </c>
    </row>
    <row r="230" spans="1:5" x14ac:dyDescent="0.25">
      <c r="A230" t="s">
        <v>495</v>
      </c>
      <c r="B230" t="s">
        <v>108</v>
      </c>
      <c r="C230" s="1">
        <v>45874</v>
      </c>
      <c r="D230" s="1">
        <v>45887</v>
      </c>
      <c r="E230" t="s">
        <v>267</v>
      </c>
    </row>
    <row r="231" spans="1:5" x14ac:dyDescent="0.25">
      <c r="A231" t="s">
        <v>496</v>
      </c>
      <c r="B231" t="s">
        <v>128</v>
      </c>
      <c r="C231" s="1">
        <v>45908</v>
      </c>
      <c r="D231" s="1">
        <v>45921</v>
      </c>
      <c r="E231" t="s">
        <v>269</v>
      </c>
    </row>
    <row r="232" spans="1:5" x14ac:dyDescent="0.25">
      <c r="A232" t="s">
        <v>497</v>
      </c>
      <c r="B232" t="s">
        <v>104</v>
      </c>
      <c r="C232" s="1">
        <v>45840</v>
      </c>
      <c r="D232" s="1">
        <v>45848</v>
      </c>
      <c r="E232" t="s">
        <v>269</v>
      </c>
    </row>
    <row r="233" spans="1:5" x14ac:dyDescent="0.25">
      <c r="A233" t="s">
        <v>498</v>
      </c>
      <c r="B233" t="s">
        <v>118</v>
      </c>
      <c r="C233" s="1">
        <v>45807</v>
      </c>
      <c r="D233" s="1">
        <v>45811</v>
      </c>
      <c r="E233" t="s">
        <v>269</v>
      </c>
    </row>
    <row r="234" spans="1:5" x14ac:dyDescent="0.25">
      <c r="A234" t="s">
        <v>499</v>
      </c>
      <c r="B234" t="s">
        <v>82</v>
      </c>
      <c r="C234" s="1">
        <v>46051</v>
      </c>
      <c r="D234" s="1">
        <v>46055</v>
      </c>
      <c r="E234" t="s">
        <v>139</v>
      </c>
    </row>
    <row r="235" spans="1:5" x14ac:dyDescent="0.25">
      <c r="A235" t="s">
        <v>500</v>
      </c>
      <c r="B235" t="s">
        <v>58</v>
      </c>
      <c r="C235" s="1">
        <v>45946</v>
      </c>
      <c r="D235" s="1">
        <v>45960</v>
      </c>
      <c r="E235" t="s">
        <v>267</v>
      </c>
    </row>
    <row r="236" spans="1:5" x14ac:dyDescent="0.25">
      <c r="A236" t="s">
        <v>501</v>
      </c>
      <c r="B236" t="s">
        <v>89</v>
      </c>
      <c r="C236" s="1">
        <v>45861</v>
      </c>
      <c r="D236" s="1">
        <v>45867</v>
      </c>
      <c r="E236" t="s">
        <v>267</v>
      </c>
    </row>
    <row r="237" spans="1:5" x14ac:dyDescent="0.25">
      <c r="A237" t="s">
        <v>502</v>
      </c>
      <c r="B237" t="s">
        <v>84</v>
      </c>
      <c r="C237" s="1">
        <v>46052</v>
      </c>
      <c r="D237" s="1">
        <v>46061</v>
      </c>
      <c r="E237" t="s">
        <v>139</v>
      </c>
    </row>
    <row r="238" spans="1:5" x14ac:dyDescent="0.25">
      <c r="A238" t="s">
        <v>503</v>
      </c>
      <c r="B238" t="s">
        <v>128</v>
      </c>
      <c r="C238" s="1">
        <v>45803</v>
      </c>
      <c r="D238" s="1">
        <v>45813</v>
      </c>
      <c r="E238" t="s">
        <v>267</v>
      </c>
    </row>
    <row r="239" spans="1:5" x14ac:dyDescent="0.25">
      <c r="A239" t="s">
        <v>504</v>
      </c>
      <c r="B239" t="s">
        <v>30</v>
      </c>
      <c r="C239" s="1">
        <v>45853</v>
      </c>
      <c r="D239" s="1">
        <v>45867</v>
      </c>
      <c r="E239" t="s">
        <v>139</v>
      </c>
    </row>
    <row r="240" spans="1:5" x14ac:dyDescent="0.25">
      <c r="A240" t="s">
        <v>505</v>
      </c>
      <c r="B240" t="s">
        <v>34</v>
      </c>
      <c r="C240" s="1">
        <v>45867</v>
      </c>
      <c r="D240" s="1">
        <v>45880</v>
      </c>
      <c r="E240" t="s">
        <v>267</v>
      </c>
    </row>
    <row r="241" spans="1:5" x14ac:dyDescent="0.25">
      <c r="A241" t="s">
        <v>506</v>
      </c>
      <c r="B241" t="s">
        <v>80</v>
      </c>
      <c r="C241" s="1">
        <v>45811</v>
      </c>
      <c r="D241" s="1">
        <v>45818</v>
      </c>
      <c r="E241" t="s">
        <v>139</v>
      </c>
    </row>
    <row r="242" spans="1:5" x14ac:dyDescent="0.25">
      <c r="A242" t="s">
        <v>507</v>
      </c>
      <c r="B242" t="s">
        <v>118</v>
      </c>
      <c r="C242" s="1">
        <v>45812</v>
      </c>
      <c r="D242" s="1">
        <v>45824</v>
      </c>
      <c r="E242" t="s">
        <v>269</v>
      </c>
    </row>
    <row r="243" spans="1:5" x14ac:dyDescent="0.25">
      <c r="A243" t="s">
        <v>508</v>
      </c>
      <c r="B243" t="s">
        <v>99</v>
      </c>
      <c r="C243" s="1">
        <v>45907</v>
      </c>
      <c r="D243" s="1">
        <v>45917</v>
      </c>
      <c r="E243" t="s">
        <v>269</v>
      </c>
    </row>
    <row r="244" spans="1:5" x14ac:dyDescent="0.25">
      <c r="A244" t="s">
        <v>509</v>
      </c>
      <c r="B244" t="s">
        <v>84</v>
      </c>
      <c r="C244" s="1">
        <v>45975</v>
      </c>
      <c r="D244" s="1">
        <v>45988</v>
      </c>
      <c r="E244" t="s">
        <v>267</v>
      </c>
    </row>
    <row r="245" spans="1:5" x14ac:dyDescent="0.25">
      <c r="A245" t="s">
        <v>510</v>
      </c>
      <c r="B245" t="s">
        <v>69</v>
      </c>
      <c r="C245" s="1">
        <v>45907</v>
      </c>
      <c r="D245" s="1">
        <v>45919</v>
      </c>
      <c r="E245" t="s">
        <v>269</v>
      </c>
    </row>
    <row r="246" spans="1:5" x14ac:dyDescent="0.25">
      <c r="A246" t="s">
        <v>511</v>
      </c>
      <c r="B246" t="s">
        <v>126</v>
      </c>
      <c r="C246" s="1">
        <v>45916</v>
      </c>
      <c r="D246" s="1">
        <v>45923</v>
      </c>
      <c r="E246" t="s">
        <v>267</v>
      </c>
    </row>
    <row r="247" spans="1:5" x14ac:dyDescent="0.25">
      <c r="A247" t="s">
        <v>512</v>
      </c>
      <c r="B247" t="s">
        <v>27</v>
      </c>
      <c r="C247" s="1">
        <v>45962</v>
      </c>
      <c r="D247" s="1">
        <v>45967</v>
      </c>
      <c r="E247" t="s">
        <v>267</v>
      </c>
    </row>
    <row r="248" spans="1:5" x14ac:dyDescent="0.25">
      <c r="A248" t="s">
        <v>513</v>
      </c>
      <c r="B248" t="s">
        <v>126</v>
      </c>
      <c r="C248" s="1">
        <v>45880</v>
      </c>
      <c r="D248" s="1">
        <v>45890</v>
      </c>
      <c r="E248" t="s">
        <v>139</v>
      </c>
    </row>
    <row r="249" spans="1:5" x14ac:dyDescent="0.25">
      <c r="A249" t="s">
        <v>514</v>
      </c>
      <c r="B249" t="s">
        <v>120</v>
      </c>
      <c r="C249" s="1">
        <v>45950</v>
      </c>
      <c r="D249" s="1">
        <v>45958</v>
      </c>
      <c r="E249" t="s">
        <v>267</v>
      </c>
    </row>
    <row r="250" spans="1:5" x14ac:dyDescent="0.25">
      <c r="A250" t="s">
        <v>515</v>
      </c>
      <c r="B250" t="s">
        <v>48</v>
      </c>
      <c r="C250" s="1">
        <v>45994</v>
      </c>
      <c r="D250" s="1">
        <v>46001</v>
      </c>
      <c r="E250" t="s">
        <v>269</v>
      </c>
    </row>
    <row r="251" spans="1:5" x14ac:dyDescent="0.25">
      <c r="A251" t="s">
        <v>516</v>
      </c>
      <c r="B251" t="s">
        <v>114</v>
      </c>
      <c r="C251" s="1">
        <v>45793</v>
      </c>
      <c r="D251" s="1">
        <v>45799</v>
      </c>
      <c r="E251" t="s">
        <v>267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4"/>
  <sheetViews>
    <sheetView workbookViewId="0">
      <selection activeCell="K24" sqref="K24"/>
    </sheetView>
  </sheetViews>
  <sheetFormatPr defaultRowHeight="15" x14ac:dyDescent="0.25"/>
  <cols>
    <col min="3" max="3" width="13.140625" customWidth="1"/>
  </cols>
  <sheetData>
    <row r="1" spans="1:4" x14ac:dyDescent="0.25">
      <c r="A1" t="s">
        <v>517</v>
      </c>
      <c r="B1" t="s">
        <v>261</v>
      </c>
      <c r="C1" t="s">
        <v>130</v>
      </c>
      <c r="D1" t="s">
        <v>518</v>
      </c>
    </row>
    <row r="2" spans="1:4" x14ac:dyDescent="0.25">
      <c r="A2" t="s">
        <v>519</v>
      </c>
      <c r="B2" t="s">
        <v>265</v>
      </c>
      <c r="C2" t="s">
        <v>182</v>
      </c>
      <c r="D2">
        <v>16</v>
      </c>
    </row>
    <row r="3" spans="1:4" x14ac:dyDescent="0.25">
      <c r="A3" t="s">
        <v>520</v>
      </c>
      <c r="B3" t="s">
        <v>266</v>
      </c>
      <c r="C3" t="s">
        <v>184</v>
      </c>
      <c r="D3">
        <v>47</v>
      </c>
    </row>
    <row r="4" spans="1:4" x14ac:dyDescent="0.25">
      <c r="A4" t="s">
        <v>521</v>
      </c>
      <c r="B4" t="s">
        <v>266</v>
      </c>
      <c r="C4" t="s">
        <v>138</v>
      </c>
      <c r="D4">
        <v>10</v>
      </c>
    </row>
    <row r="5" spans="1:4" x14ac:dyDescent="0.25">
      <c r="A5" t="s">
        <v>522</v>
      </c>
      <c r="B5" t="s">
        <v>268</v>
      </c>
      <c r="C5" t="s">
        <v>164</v>
      </c>
      <c r="D5">
        <v>11</v>
      </c>
    </row>
    <row r="6" spans="1:4" x14ac:dyDescent="0.25">
      <c r="A6" t="s">
        <v>523</v>
      </c>
      <c r="B6" t="s">
        <v>268</v>
      </c>
      <c r="C6" t="s">
        <v>144</v>
      </c>
      <c r="D6">
        <v>29</v>
      </c>
    </row>
    <row r="7" spans="1:4" x14ac:dyDescent="0.25">
      <c r="A7" t="s">
        <v>524</v>
      </c>
      <c r="B7" t="s">
        <v>268</v>
      </c>
      <c r="C7" t="s">
        <v>181</v>
      </c>
      <c r="D7">
        <v>27</v>
      </c>
    </row>
    <row r="8" spans="1:4" x14ac:dyDescent="0.25">
      <c r="A8" t="s">
        <v>525</v>
      </c>
      <c r="B8" t="s">
        <v>268</v>
      </c>
      <c r="C8" t="s">
        <v>163</v>
      </c>
      <c r="D8">
        <v>37</v>
      </c>
    </row>
    <row r="9" spans="1:4" x14ac:dyDescent="0.25">
      <c r="A9" t="s">
        <v>526</v>
      </c>
      <c r="B9" t="s">
        <v>268</v>
      </c>
      <c r="C9" t="s">
        <v>153</v>
      </c>
      <c r="D9">
        <v>46</v>
      </c>
    </row>
    <row r="10" spans="1:4" x14ac:dyDescent="0.25">
      <c r="A10" t="s">
        <v>527</v>
      </c>
      <c r="B10" t="s">
        <v>270</v>
      </c>
      <c r="C10" t="s">
        <v>178</v>
      </c>
      <c r="D10">
        <v>20</v>
      </c>
    </row>
    <row r="11" spans="1:4" x14ac:dyDescent="0.25">
      <c r="A11" t="s">
        <v>528</v>
      </c>
      <c r="B11" t="s">
        <v>271</v>
      </c>
      <c r="C11" t="s">
        <v>170</v>
      </c>
      <c r="D11">
        <v>5</v>
      </c>
    </row>
    <row r="12" spans="1:4" x14ac:dyDescent="0.25">
      <c r="A12" t="s">
        <v>529</v>
      </c>
      <c r="B12" t="s">
        <v>271</v>
      </c>
      <c r="C12" t="s">
        <v>142</v>
      </c>
      <c r="D12">
        <v>32</v>
      </c>
    </row>
    <row r="13" spans="1:4" x14ac:dyDescent="0.25">
      <c r="A13" t="s">
        <v>530</v>
      </c>
      <c r="B13" t="s">
        <v>272</v>
      </c>
      <c r="C13" t="s">
        <v>134</v>
      </c>
      <c r="D13">
        <v>44</v>
      </c>
    </row>
    <row r="14" spans="1:4" x14ac:dyDescent="0.25">
      <c r="A14" t="s">
        <v>531</v>
      </c>
      <c r="B14" t="s">
        <v>273</v>
      </c>
      <c r="C14" t="s">
        <v>172</v>
      </c>
      <c r="D14">
        <v>19</v>
      </c>
    </row>
    <row r="15" spans="1:4" x14ac:dyDescent="0.25">
      <c r="A15" t="s">
        <v>532</v>
      </c>
      <c r="B15" t="s">
        <v>274</v>
      </c>
      <c r="C15" t="s">
        <v>140</v>
      </c>
      <c r="D15">
        <v>26</v>
      </c>
    </row>
    <row r="16" spans="1:4" x14ac:dyDescent="0.25">
      <c r="A16" t="s">
        <v>533</v>
      </c>
      <c r="B16" t="s">
        <v>274</v>
      </c>
      <c r="C16" t="s">
        <v>144</v>
      </c>
      <c r="D16">
        <v>27</v>
      </c>
    </row>
    <row r="17" spans="1:4" x14ac:dyDescent="0.25">
      <c r="A17" t="s">
        <v>534</v>
      </c>
      <c r="B17" t="s">
        <v>275</v>
      </c>
      <c r="C17" t="s">
        <v>147</v>
      </c>
      <c r="D17">
        <v>40</v>
      </c>
    </row>
    <row r="18" spans="1:4" x14ac:dyDescent="0.25">
      <c r="A18" t="s">
        <v>535</v>
      </c>
      <c r="B18" t="s">
        <v>276</v>
      </c>
      <c r="C18" t="s">
        <v>171</v>
      </c>
      <c r="D18">
        <v>19</v>
      </c>
    </row>
    <row r="19" spans="1:4" x14ac:dyDescent="0.25">
      <c r="A19" t="s">
        <v>536</v>
      </c>
      <c r="B19" t="s">
        <v>276</v>
      </c>
      <c r="C19" t="s">
        <v>155</v>
      </c>
      <c r="D19">
        <v>49</v>
      </c>
    </row>
    <row r="20" spans="1:4" x14ac:dyDescent="0.25">
      <c r="A20" t="s">
        <v>537</v>
      </c>
      <c r="B20" t="s">
        <v>277</v>
      </c>
      <c r="C20" t="s">
        <v>181</v>
      </c>
      <c r="D20">
        <v>28</v>
      </c>
    </row>
    <row r="21" spans="1:4" x14ac:dyDescent="0.25">
      <c r="A21" t="s">
        <v>538</v>
      </c>
      <c r="B21" t="s">
        <v>277</v>
      </c>
      <c r="C21" t="s">
        <v>142</v>
      </c>
      <c r="D21">
        <v>9</v>
      </c>
    </row>
    <row r="22" spans="1:4" x14ac:dyDescent="0.25">
      <c r="A22" t="s">
        <v>539</v>
      </c>
      <c r="B22" t="s">
        <v>278</v>
      </c>
      <c r="C22" t="s">
        <v>183</v>
      </c>
      <c r="D22">
        <v>43</v>
      </c>
    </row>
    <row r="23" spans="1:4" x14ac:dyDescent="0.25">
      <c r="A23" t="s">
        <v>540</v>
      </c>
      <c r="B23" t="s">
        <v>278</v>
      </c>
      <c r="C23" t="s">
        <v>177</v>
      </c>
      <c r="D23">
        <v>37</v>
      </c>
    </row>
    <row r="24" spans="1:4" x14ac:dyDescent="0.25">
      <c r="A24" t="s">
        <v>541</v>
      </c>
      <c r="B24" t="s">
        <v>278</v>
      </c>
      <c r="C24" t="s">
        <v>172</v>
      </c>
      <c r="D24">
        <v>11</v>
      </c>
    </row>
    <row r="25" spans="1:4" x14ac:dyDescent="0.25">
      <c r="A25" t="s">
        <v>542</v>
      </c>
      <c r="B25" t="s">
        <v>278</v>
      </c>
      <c r="C25" t="s">
        <v>168</v>
      </c>
      <c r="D25">
        <v>14</v>
      </c>
    </row>
    <row r="26" spans="1:4" x14ac:dyDescent="0.25">
      <c r="A26" t="s">
        <v>543</v>
      </c>
      <c r="B26" t="s">
        <v>279</v>
      </c>
      <c r="C26" t="s">
        <v>157</v>
      </c>
      <c r="D26">
        <v>4</v>
      </c>
    </row>
    <row r="27" spans="1:4" x14ac:dyDescent="0.25">
      <c r="A27" t="s">
        <v>544</v>
      </c>
      <c r="B27" t="s">
        <v>279</v>
      </c>
      <c r="C27" t="s">
        <v>176</v>
      </c>
      <c r="D27">
        <v>45</v>
      </c>
    </row>
    <row r="28" spans="1:4" x14ac:dyDescent="0.25">
      <c r="A28" t="s">
        <v>545</v>
      </c>
      <c r="B28" t="s">
        <v>279</v>
      </c>
      <c r="C28" t="s">
        <v>134</v>
      </c>
      <c r="D28">
        <v>20</v>
      </c>
    </row>
    <row r="29" spans="1:4" x14ac:dyDescent="0.25">
      <c r="A29" t="s">
        <v>546</v>
      </c>
      <c r="B29" t="s">
        <v>279</v>
      </c>
      <c r="C29" t="s">
        <v>185</v>
      </c>
      <c r="D29">
        <v>7</v>
      </c>
    </row>
    <row r="30" spans="1:4" x14ac:dyDescent="0.25">
      <c r="A30" t="s">
        <v>547</v>
      </c>
      <c r="B30" t="s">
        <v>280</v>
      </c>
      <c r="C30" t="s">
        <v>155</v>
      </c>
      <c r="D30">
        <v>40</v>
      </c>
    </row>
    <row r="31" spans="1:4" x14ac:dyDescent="0.25">
      <c r="A31" t="s">
        <v>548</v>
      </c>
      <c r="B31" t="s">
        <v>280</v>
      </c>
      <c r="C31" t="s">
        <v>154</v>
      </c>
      <c r="D31">
        <v>27</v>
      </c>
    </row>
    <row r="32" spans="1:4" x14ac:dyDescent="0.25">
      <c r="A32" t="s">
        <v>549</v>
      </c>
      <c r="B32" t="s">
        <v>280</v>
      </c>
      <c r="C32" t="s">
        <v>143</v>
      </c>
      <c r="D32">
        <v>49</v>
      </c>
    </row>
    <row r="33" spans="1:4" x14ac:dyDescent="0.25">
      <c r="A33" t="s">
        <v>550</v>
      </c>
      <c r="B33" t="s">
        <v>280</v>
      </c>
      <c r="C33" t="s">
        <v>170</v>
      </c>
      <c r="D33">
        <v>17</v>
      </c>
    </row>
    <row r="34" spans="1:4" x14ac:dyDescent="0.25">
      <c r="A34" t="s">
        <v>551</v>
      </c>
      <c r="B34" t="s">
        <v>281</v>
      </c>
      <c r="C34" t="s">
        <v>140</v>
      </c>
      <c r="D34">
        <v>38</v>
      </c>
    </row>
    <row r="35" spans="1:4" x14ac:dyDescent="0.25">
      <c r="A35" t="s">
        <v>552</v>
      </c>
      <c r="B35" t="s">
        <v>281</v>
      </c>
      <c r="C35" t="s">
        <v>183</v>
      </c>
      <c r="D35">
        <v>14</v>
      </c>
    </row>
    <row r="36" spans="1:4" x14ac:dyDescent="0.25">
      <c r="A36" t="s">
        <v>553</v>
      </c>
      <c r="B36" t="s">
        <v>282</v>
      </c>
      <c r="C36" t="s">
        <v>173</v>
      </c>
      <c r="D36">
        <v>38</v>
      </c>
    </row>
    <row r="37" spans="1:4" x14ac:dyDescent="0.25">
      <c r="A37" t="s">
        <v>554</v>
      </c>
      <c r="B37" t="s">
        <v>282</v>
      </c>
      <c r="C37" t="s">
        <v>143</v>
      </c>
      <c r="D37">
        <v>42</v>
      </c>
    </row>
    <row r="38" spans="1:4" x14ac:dyDescent="0.25">
      <c r="A38" t="s">
        <v>555</v>
      </c>
      <c r="B38" t="s">
        <v>283</v>
      </c>
      <c r="C38" t="s">
        <v>134</v>
      </c>
      <c r="D38">
        <v>4</v>
      </c>
    </row>
    <row r="39" spans="1:4" x14ac:dyDescent="0.25">
      <c r="A39" t="s">
        <v>556</v>
      </c>
      <c r="B39" t="s">
        <v>283</v>
      </c>
      <c r="C39" t="s">
        <v>146</v>
      </c>
      <c r="D39">
        <v>36</v>
      </c>
    </row>
    <row r="40" spans="1:4" x14ac:dyDescent="0.25">
      <c r="A40" t="s">
        <v>557</v>
      </c>
      <c r="B40" t="s">
        <v>283</v>
      </c>
      <c r="C40" t="s">
        <v>169</v>
      </c>
      <c r="D40">
        <v>12</v>
      </c>
    </row>
    <row r="41" spans="1:4" x14ac:dyDescent="0.25">
      <c r="A41" t="s">
        <v>558</v>
      </c>
      <c r="B41" t="s">
        <v>283</v>
      </c>
      <c r="C41" t="s">
        <v>138</v>
      </c>
      <c r="D41">
        <v>32</v>
      </c>
    </row>
    <row r="42" spans="1:4" x14ac:dyDescent="0.25">
      <c r="A42" t="s">
        <v>559</v>
      </c>
      <c r="B42" t="s">
        <v>283</v>
      </c>
      <c r="C42" t="s">
        <v>140</v>
      </c>
      <c r="D42">
        <v>28</v>
      </c>
    </row>
    <row r="43" spans="1:4" x14ac:dyDescent="0.25">
      <c r="A43" t="s">
        <v>560</v>
      </c>
      <c r="B43" t="s">
        <v>284</v>
      </c>
      <c r="C43" t="s">
        <v>146</v>
      </c>
      <c r="D43">
        <v>3</v>
      </c>
    </row>
    <row r="44" spans="1:4" x14ac:dyDescent="0.25">
      <c r="A44" t="s">
        <v>561</v>
      </c>
      <c r="B44" t="s">
        <v>284</v>
      </c>
      <c r="C44" t="s">
        <v>144</v>
      </c>
      <c r="D44">
        <v>42</v>
      </c>
    </row>
    <row r="45" spans="1:4" x14ac:dyDescent="0.25">
      <c r="A45" t="s">
        <v>562</v>
      </c>
      <c r="B45" t="s">
        <v>284</v>
      </c>
      <c r="C45" t="s">
        <v>182</v>
      </c>
      <c r="D45">
        <v>50</v>
      </c>
    </row>
    <row r="46" spans="1:4" x14ac:dyDescent="0.25">
      <c r="A46" t="s">
        <v>563</v>
      </c>
      <c r="B46" t="s">
        <v>284</v>
      </c>
      <c r="C46" t="s">
        <v>154</v>
      </c>
      <c r="D46">
        <v>2</v>
      </c>
    </row>
    <row r="47" spans="1:4" x14ac:dyDescent="0.25">
      <c r="A47" t="s">
        <v>564</v>
      </c>
      <c r="B47" t="s">
        <v>285</v>
      </c>
      <c r="C47" t="s">
        <v>184</v>
      </c>
      <c r="D47">
        <v>16</v>
      </c>
    </row>
    <row r="48" spans="1:4" x14ac:dyDescent="0.25">
      <c r="A48" t="s">
        <v>565</v>
      </c>
      <c r="B48" t="s">
        <v>286</v>
      </c>
      <c r="C48" t="s">
        <v>183</v>
      </c>
      <c r="D48">
        <v>24</v>
      </c>
    </row>
    <row r="49" spans="1:4" x14ac:dyDescent="0.25">
      <c r="A49" t="s">
        <v>566</v>
      </c>
      <c r="B49" t="s">
        <v>286</v>
      </c>
      <c r="C49" t="s">
        <v>141</v>
      </c>
      <c r="D49">
        <v>11</v>
      </c>
    </row>
    <row r="50" spans="1:4" x14ac:dyDescent="0.25">
      <c r="A50" t="s">
        <v>567</v>
      </c>
      <c r="B50" t="s">
        <v>286</v>
      </c>
      <c r="C50" t="s">
        <v>160</v>
      </c>
      <c r="D50">
        <v>16</v>
      </c>
    </row>
    <row r="51" spans="1:4" x14ac:dyDescent="0.25">
      <c r="A51" t="s">
        <v>568</v>
      </c>
      <c r="B51" t="s">
        <v>286</v>
      </c>
      <c r="C51" t="s">
        <v>160</v>
      </c>
      <c r="D51">
        <v>34</v>
      </c>
    </row>
    <row r="52" spans="1:4" x14ac:dyDescent="0.25">
      <c r="A52" t="s">
        <v>569</v>
      </c>
      <c r="B52" t="s">
        <v>286</v>
      </c>
      <c r="C52" t="s">
        <v>184</v>
      </c>
      <c r="D52">
        <v>29</v>
      </c>
    </row>
    <row r="53" spans="1:4" x14ac:dyDescent="0.25">
      <c r="A53" t="s">
        <v>570</v>
      </c>
      <c r="B53" t="s">
        <v>287</v>
      </c>
      <c r="C53" t="s">
        <v>181</v>
      </c>
      <c r="D53">
        <v>26</v>
      </c>
    </row>
    <row r="54" spans="1:4" x14ac:dyDescent="0.25">
      <c r="A54" t="s">
        <v>571</v>
      </c>
      <c r="B54" t="s">
        <v>288</v>
      </c>
      <c r="C54" t="s">
        <v>170</v>
      </c>
      <c r="D54">
        <v>11</v>
      </c>
    </row>
    <row r="55" spans="1:4" x14ac:dyDescent="0.25">
      <c r="A55" t="s">
        <v>572</v>
      </c>
      <c r="B55" t="s">
        <v>288</v>
      </c>
      <c r="C55" t="s">
        <v>150</v>
      </c>
      <c r="D55">
        <v>29</v>
      </c>
    </row>
    <row r="56" spans="1:4" x14ac:dyDescent="0.25">
      <c r="A56" t="s">
        <v>573</v>
      </c>
      <c r="B56" t="s">
        <v>288</v>
      </c>
      <c r="C56" t="s">
        <v>146</v>
      </c>
      <c r="D56">
        <v>47</v>
      </c>
    </row>
    <row r="57" spans="1:4" x14ac:dyDescent="0.25">
      <c r="A57" t="s">
        <v>574</v>
      </c>
      <c r="B57" t="s">
        <v>288</v>
      </c>
      <c r="C57" t="s">
        <v>169</v>
      </c>
      <c r="D57">
        <v>14</v>
      </c>
    </row>
    <row r="58" spans="1:4" x14ac:dyDescent="0.25">
      <c r="A58" t="s">
        <v>575</v>
      </c>
      <c r="B58" t="s">
        <v>288</v>
      </c>
      <c r="C58" t="s">
        <v>155</v>
      </c>
      <c r="D58">
        <v>6</v>
      </c>
    </row>
    <row r="59" spans="1:4" x14ac:dyDescent="0.25">
      <c r="A59" t="s">
        <v>576</v>
      </c>
      <c r="B59" t="s">
        <v>289</v>
      </c>
      <c r="C59" t="s">
        <v>151</v>
      </c>
      <c r="D59">
        <v>31</v>
      </c>
    </row>
    <row r="60" spans="1:4" x14ac:dyDescent="0.25">
      <c r="A60" t="s">
        <v>577</v>
      </c>
      <c r="B60" t="s">
        <v>289</v>
      </c>
      <c r="C60" t="s">
        <v>171</v>
      </c>
      <c r="D60">
        <v>37</v>
      </c>
    </row>
    <row r="61" spans="1:4" x14ac:dyDescent="0.25">
      <c r="A61" t="s">
        <v>578</v>
      </c>
      <c r="B61" t="s">
        <v>289</v>
      </c>
      <c r="C61" t="s">
        <v>155</v>
      </c>
      <c r="D61">
        <v>50</v>
      </c>
    </row>
    <row r="62" spans="1:4" x14ac:dyDescent="0.25">
      <c r="A62" t="s">
        <v>579</v>
      </c>
      <c r="B62" t="s">
        <v>289</v>
      </c>
      <c r="C62" t="s">
        <v>161</v>
      </c>
      <c r="D62">
        <v>20</v>
      </c>
    </row>
    <row r="63" spans="1:4" x14ac:dyDescent="0.25">
      <c r="A63" t="s">
        <v>580</v>
      </c>
      <c r="B63" t="s">
        <v>289</v>
      </c>
      <c r="C63" t="s">
        <v>134</v>
      </c>
      <c r="D63">
        <v>37</v>
      </c>
    </row>
    <row r="64" spans="1:4" x14ac:dyDescent="0.25">
      <c r="A64" t="s">
        <v>581</v>
      </c>
      <c r="B64" t="s">
        <v>290</v>
      </c>
      <c r="C64" t="s">
        <v>141</v>
      </c>
      <c r="D64">
        <v>6</v>
      </c>
    </row>
    <row r="65" spans="1:4" x14ac:dyDescent="0.25">
      <c r="A65" t="s">
        <v>582</v>
      </c>
      <c r="B65" t="s">
        <v>291</v>
      </c>
      <c r="C65" t="s">
        <v>181</v>
      </c>
      <c r="D65">
        <v>14</v>
      </c>
    </row>
    <row r="66" spans="1:4" x14ac:dyDescent="0.25">
      <c r="A66" t="s">
        <v>583</v>
      </c>
      <c r="B66" t="s">
        <v>291</v>
      </c>
      <c r="C66" t="s">
        <v>138</v>
      </c>
      <c r="D66">
        <v>40</v>
      </c>
    </row>
    <row r="67" spans="1:4" x14ac:dyDescent="0.25">
      <c r="A67" t="s">
        <v>584</v>
      </c>
      <c r="B67" t="s">
        <v>291</v>
      </c>
      <c r="C67" t="s">
        <v>134</v>
      </c>
      <c r="D67">
        <v>18</v>
      </c>
    </row>
    <row r="68" spans="1:4" x14ac:dyDescent="0.25">
      <c r="A68" t="s">
        <v>585</v>
      </c>
      <c r="B68" t="s">
        <v>292</v>
      </c>
      <c r="C68" t="s">
        <v>168</v>
      </c>
      <c r="D68">
        <v>43</v>
      </c>
    </row>
    <row r="69" spans="1:4" x14ac:dyDescent="0.25">
      <c r="A69" t="s">
        <v>586</v>
      </c>
      <c r="B69" t="s">
        <v>293</v>
      </c>
      <c r="C69" t="s">
        <v>134</v>
      </c>
      <c r="D69">
        <v>47</v>
      </c>
    </row>
    <row r="70" spans="1:4" x14ac:dyDescent="0.25">
      <c r="A70" t="s">
        <v>587</v>
      </c>
      <c r="B70" t="s">
        <v>294</v>
      </c>
      <c r="C70" t="s">
        <v>171</v>
      </c>
      <c r="D70">
        <v>25</v>
      </c>
    </row>
    <row r="71" spans="1:4" x14ac:dyDescent="0.25">
      <c r="A71" t="s">
        <v>588</v>
      </c>
      <c r="B71" t="s">
        <v>294</v>
      </c>
      <c r="C71" t="s">
        <v>180</v>
      </c>
      <c r="D71">
        <v>12</v>
      </c>
    </row>
    <row r="72" spans="1:4" x14ac:dyDescent="0.25">
      <c r="A72" t="s">
        <v>589</v>
      </c>
      <c r="B72" t="s">
        <v>294</v>
      </c>
      <c r="C72" t="s">
        <v>161</v>
      </c>
      <c r="D72">
        <v>34</v>
      </c>
    </row>
    <row r="73" spans="1:4" x14ac:dyDescent="0.25">
      <c r="A73" t="s">
        <v>590</v>
      </c>
      <c r="B73" t="s">
        <v>294</v>
      </c>
      <c r="C73" t="s">
        <v>163</v>
      </c>
      <c r="D73">
        <v>4</v>
      </c>
    </row>
    <row r="74" spans="1:4" x14ac:dyDescent="0.25">
      <c r="A74" t="s">
        <v>591</v>
      </c>
      <c r="B74" t="s">
        <v>294</v>
      </c>
      <c r="C74" t="s">
        <v>168</v>
      </c>
      <c r="D74">
        <v>7</v>
      </c>
    </row>
    <row r="75" spans="1:4" x14ac:dyDescent="0.25">
      <c r="A75" t="s">
        <v>592</v>
      </c>
      <c r="B75" t="s">
        <v>295</v>
      </c>
      <c r="C75" t="s">
        <v>151</v>
      </c>
      <c r="D75">
        <v>10</v>
      </c>
    </row>
    <row r="76" spans="1:4" x14ac:dyDescent="0.25">
      <c r="A76" t="s">
        <v>593</v>
      </c>
      <c r="B76" t="s">
        <v>295</v>
      </c>
      <c r="C76" t="s">
        <v>177</v>
      </c>
      <c r="D76">
        <v>22</v>
      </c>
    </row>
    <row r="77" spans="1:4" x14ac:dyDescent="0.25">
      <c r="A77" t="s">
        <v>594</v>
      </c>
      <c r="B77" t="s">
        <v>295</v>
      </c>
      <c r="C77" t="s">
        <v>171</v>
      </c>
      <c r="D77">
        <v>21</v>
      </c>
    </row>
    <row r="78" spans="1:4" x14ac:dyDescent="0.25">
      <c r="A78" t="s">
        <v>595</v>
      </c>
      <c r="B78" t="s">
        <v>295</v>
      </c>
      <c r="C78" t="s">
        <v>141</v>
      </c>
      <c r="D78">
        <v>33</v>
      </c>
    </row>
    <row r="79" spans="1:4" x14ac:dyDescent="0.25">
      <c r="A79" t="s">
        <v>596</v>
      </c>
      <c r="B79" t="s">
        <v>296</v>
      </c>
      <c r="C79" t="s">
        <v>184</v>
      </c>
      <c r="D79">
        <v>42</v>
      </c>
    </row>
    <row r="80" spans="1:4" x14ac:dyDescent="0.25">
      <c r="A80" t="s">
        <v>597</v>
      </c>
      <c r="B80" t="s">
        <v>296</v>
      </c>
      <c r="C80" t="s">
        <v>178</v>
      </c>
      <c r="D80">
        <v>44</v>
      </c>
    </row>
    <row r="81" spans="1:4" x14ac:dyDescent="0.25">
      <c r="A81" t="s">
        <v>598</v>
      </c>
      <c r="B81" t="s">
        <v>297</v>
      </c>
      <c r="C81" t="s">
        <v>165</v>
      </c>
      <c r="D81">
        <v>20</v>
      </c>
    </row>
    <row r="82" spans="1:4" x14ac:dyDescent="0.25">
      <c r="A82" t="s">
        <v>599</v>
      </c>
      <c r="B82" t="s">
        <v>297</v>
      </c>
      <c r="C82" t="s">
        <v>134</v>
      </c>
      <c r="D82">
        <v>11</v>
      </c>
    </row>
    <row r="83" spans="1:4" x14ac:dyDescent="0.25">
      <c r="A83" t="s">
        <v>600</v>
      </c>
      <c r="B83" t="s">
        <v>297</v>
      </c>
      <c r="C83" t="s">
        <v>144</v>
      </c>
      <c r="D83">
        <v>36</v>
      </c>
    </row>
    <row r="84" spans="1:4" x14ac:dyDescent="0.25">
      <c r="A84" t="s">
        <v>601</v>
      </c>
      <c r="B84" t="s">
        <v>297</v>
      </c>
      <c r="C84" t="s">
        <v>138</v>
      </c>
      <c r="D84">
        <v>49</v>
      </c>
    </row>
    <row r="85" spans="1:4" x14ac:dyDescent="0.25">
      <c r="A85" t="s">
        <v>602</v>
      </c>
      <c r="B85" t="s">
        <v>298</v>
      </c>
      <c r="C85" t="s">
        <v>161</v>
      </c>
      <c r="D85">
        <v>19</v>
      </c>
    </row>
    <row r="86" spans="1:4" x14ac:dyDescent="0.25">
      <c r="A86" t="s">
        <v>603</v>
      </c>
      <c r="B86" t="s">
        <v>298</v>
      </c>
      <c r="C86" t="s">
        <v>183</v>
      </c>
      <c r="D86">
        <v>3</v>
      </c>
    </row>
    <row r="87" spans="1:4" x14ac:dyDescent="0.25">
      <c r="A87" t="s">
        <v>604</v>
      </c>
      <c r="B87" t="s">
        <v>298</v>
      </c>
      <c r="C87" t="s">
        <v>169</v>
      </c>
      <c r="D87">
        <v>43</v>
      </c>
    </row>
    <row r="88" spans="1:4" x14ac:dyDescent="0.25">
      <c r="A88" t="s">
        <v>605</v>
      </c>
      <c r="B88" t="s">
        <v>299</v>
      </c>
      <c r="C88" t="s">
        <v>163</v>
      </c>
      <c r="D88">
        <v>11</v>
      </c>
    </row>
    <row r="89" spans="1:4" x14ac:dyDescent="0.25">
      <c r="A89" t="s">
        <v>606</v>
      </c>
      <c r="B89" t="s">
        <v>300</v>
      </c>
      <c r="C89" t="s">
        <v>183</v>
      </c>
      <c r="D89">
        <v>43</v>
      </c>
    </row>
    <row r="90" spans="1:4" x14ac:dyDescent="0.25">
      <c r="A90" t="s">
        <v>607</v>
      </c>
      <c r="B90" t="s">
        <v>300</v>
      </c>
      <c r="C90" t="s">
        <v>153</v>
      </c>
      <c r="D90">
        <v>41</v>
      </c>
    </row>
    <row r="91" spans="1:4" x14ac:dyDescent="0.25">
      <c r="A91" t="s">
        <v>608</v>
      </c>
      <c r="B91" t="s">
        <v>300</v>
      </c>
      <c r="C91" t="s">
        <v>178</v>
      </c>
      <c r="D91">
        <v>23</v>
      </c>
    </row>
    <row r="92" spans="1:4" x14ac:dyDescent="0.25">
      <c r="A92" t="s">
        <v>609</v>
      </c>
      <c r="B92" t="s">
        <v>301</v>
      </c>
      <c r="C92" t="s">
        <v>186</v>
      </c>
      <c r="D92">
        <v>43</v>
      </c>
    </row>
    <row r="93" spans="1:4" x14ac:dyDescent="0.25">
      <c r="A93" t="s">
        <v>610</v>
      </c>
      <c r="B93" t="s">
        <v>301</v>
      </c>
      <c r="C93" t="s">
        <v>172</v>
      </c>
      <c r="D93">
        <v>50</v>
      </c>
    </row>
    <row r="94" spans="1:4" x14ac:dyDescent="0.25">
      <c r="A94" t="s">
        <v>611</v>
      </c>
      <c r="B94" t="s">
        <v>301</v>
      </c>
      <c r="C94" t="s">
        <v>171</v>
      </c>
      <c r="D94">
        <v>38</v>
      </c>
    </row>
    <row r="95" spans="1:4" x14ac:dyDescent="0.25">
      <c r="A95" t="s">
        <v>612</v>
      </c>
      <c r="B95" t="s">
        <v>302</v>
      </c>
      <c r="C95" t="s">
        <v>164</v>
      </c>
      <c r="D95">
        <v>35</v>
      </c>
    </row>
    <row r="96" spans="1:4" x14ac:dyDescent="0.25">
      <c r="A96" t="s">
        <v>613</v>
      </c>
      <c r="B96" t="s">
        <v>302</v>
      </c>
      <c r="C96" t="s">
        <v>168</v>
      </c>
      <c r="D96">
        <v>36</v>
      </c>
    </row>
    <row r="97" spans="1:4" x14ac:dyDescent="0.25">
      <c r="A97" t="s">
        <v>614</v>
      </c>
      <c r="B97" t="s">
        <v>303</v>
      </c>
      <c r="C97" t="s">
        <v>186</v>
      </c>
      <c r="D97">
        <v>26</v>
      </c>
    </row>
    <row r="98" spans="1:4" x14ac:dyDescent="0.25">
      <c r="A98" t="s">
        <v>615</v>
      </c>
      <c r="B98" t="s">
        <v>303</v>
      </c>
      <c r="C98" t="s">
        <v>172</v>
      </c>
      <c r="D98">
        <v>28</v>
      </c>
    </row>
    <row r="99" spans="1:4" x14ac:dyDescent="0.25">
      <c r="A99" t="s">
        <v>616</v>
      </c>
      <c r="B99" t="s">
        <v>304</v>
      </c>
      <c r="C99" t="s">
        <v>182</v>
      </c>
      <c r="D99">
        <v>10</v>
      </c>
    </row>
    <row r="100" spans="1:4" x14ac:dyDescent="0.25">
      <c r="A100" t="s">
        <v>617</v>
      </c>
      <c r="B100" t="s">
        <v>304</v>
      </c>
      <c r="C100" t="s">
        <v>184</v>
      </c>
      <c r="D100">
        <v>17</v>
      </c>
    </row>
    <row r="101" spans="1:4" x14ac:dyDescent="0.25">
      <c r="A101" t="s">
        <v>618</v>
      </c>
      <c r="B101" t="s">
        <v>304</v>
      </c>
      <c r="C101" t="s">
        <v>157</v>
      </c>
      <c r="D101">
        <v>3</v>
      </c>
    </row>
    <row r="102" spans="1:4" x14ac:dyDescent="0.25">
      <c r="A102" t="s">
        <v>619</v>
      </c>
      <c r="B102" t="s">
        <v>304</v>
      </c>
      <c r="C102" t="s">
        <v>140</v>
      </c>
      <c r="D102">
        <v>28</v>
      </c>
    </row>
    <row r="103" spans="1:4" x14ac:dyDescent="0.25">
      <c r="A103" t="s">
        <v>620</v>
      </c>
      <c r="B103" t="s">
        <v>305</v>
      </c>
      <c r="C103" t="s">
        <v>173</v>
      </c>
      <c r="D103">
        <v>27</v>
      </c>
    </row>
    <row r="104" spans="1:4" x14ac:dyDescent="0.25">
      <c r="A104" t="s">
        <v>621</v>
      </c>
      <c r="B104" t="s">
        <v>306</v>
      </c>
      <c r="C104" t="s">
        <v>172</v>
      </c>
      <c r="D104">
        <v>8</v>
      </c>
    </row>
    <row r="105" spans="1:4" x14ac:dyDescent="0.25">
      <c r="A105" t="s">
        <v>622</v>
      </c>
      <c r="B105" t="s">
        <v>306</v>
      </c>
      <c r="C105" t="s">
        <v>162</v>
      </c>
      <c r="D105">
        <v>15</v>
      </c>
    </row>
    <row r="106" spans="1:4" x14ac:dyDescent="0.25">
      <c r="A106" t="s">
        <v>623</v>
      </c>
      <c r="B106" t="s">
        <v>307</v>
      </c>
      <c r="C106" t="s">
        <v>186</v>
      </c>
      <c r="D106">
        <v>22</v>
      </c>
    </row>
    <row r="107" spans="1:4" x14ac:dyDescent="0.25">
      <c r="A107" t="s">
        <v>624</v>
      </c>
      <c r="B107" t="s">
        <v>307</v>
      </c>
      <c r="C107" t="s">
        <v>154</v>
      </c>
      <c r="D107">
        <v>45</v>
      </c>
    </row>
    <row r="108" spans="1:4" x14ac:dyDescent="0.25">
      <c r="A108" t="s">
        <v>625</v>
      </c>
      <c r="B108" t="s">
        <v>307</v>
      </c>
      <c r="C108" t="s">
        <v>169</v>
      </c>
      <c r="D108">
        <v>14</v>
      </c>
    </row>
    <row r="109" spans="1:4" x14ac:dyDescent="0.25">
      <c r="A109" t="s">
        <v>626</v>
      </c>
      <c r="B109" t="s">
        <v>307</v>
      </c>
      <c r="C109" t="s">
        <v>144</v>
      </c>
      <c r="D109">
        <v>33</v>
      </c>
    </row>
    <row r="110" spans="1:4" x14ac:dyDescent="0.25">
      <c r="A110" t="s">
        <v>627</v>
      </c>
      <c r="B110" t="s">
        <v>307</v>
      </c>
      <c r="C110" t="s">
        <v>164</v>
      </c>
      <c r="D110">
        <v>41</v>
      </c>
    </row>
    <row r="111" spans="1:4" x14ac:dyDescent="0.25">
      <c r="A111" t="s">
        <v>628</v>
      </c>
      <c r="B111" t="s">
        <v>308</v>
      </c>
      <c r="C111" t="s">
        <v>156</v>
      </c>
      <c r="D111">
        <v>13</v>
      </c>
    </row>
    <row r="112" spans="1:4" x14ac:dyDescent="0.25">
      <c r="A112" t="s">
        <v>629</v>
      </c>
      <c r="B112" t="s">
        <v>308</v>
      </c>
      <c r="C112" t="s">
        <v>172</v>
      </c>
      <c r="D112">
        <v>47</v>
      </c>
    </row>
    <row r="113" spans="1:4" x14ac:dyDescent="0.25">
      <c r="A113" t="s">
        <v>630</v>
      </c>
      <c r="B113" t="s">
        <v>308</v>
      </c>
      <c r="C113" t="s">
        <v>165</v>
      </c>
      <c r="D113">
        <v>48</v>
      </c>
    </row>
    <row r="114" spans="1:4" x14ac:dyDescent="0.25">
      <c r="A114" t="s">
        <v>631</v>
      </c>
      <c r="B114" t="s">
        <v>308</v>
      </c>
      <c r="C114" t="s">
        <v>147</v>
      </c>
      <c r="D114">
        <v>39</v>
      </c>
    </row>
    <row r="115" spans="1:4" x14ac:dyDescent="0.25">
      <c r="A115" t="s">
        <v>632</v>
      </c>
      <c r="B115" t="s">
        <v>308</v>
      </c>
      <c r="C115" t="s">
        <v>182</v>
      </c>
      <c r="D115">
        <v>14</v>
      </c>
    </row>
    <row r="116" spans="1:4" x14ac:dyDescent="0.25">
      <c r="A116" t="s">
        <v>633</v>
      </c>
      <c r="B116" t="s">
        <v>309</v>
      </c>
      <c r="C116" t="s">
        <v>156</v>
      </c>
      <c r="D116">
        <v>49</v>
      </c>
    </row>
    <row r="117" spans="1:4" x14ac:dyDescent="0.25">
      <c r="A117" t="s">
        <v>634</v>
      </c>
      <c r="B117" t="s">
        <v>309</v>
      </c>
      <c r="C117" t="s">
        <v>150</v>
      </c>
      <c r="D117">
        <v>13</v>
      </c>
    </row>
    <row r="118" spans="1:4" x14ac:dyDescent="0.25">
      <c r="A118" t="s">
        <v>635</v>
      </c>
      <c r="B118" t="s">
        <v>310</v>
      </c>
      <c r="C118" t="s">
        <v>162</v>
      </c>
      <c r="D118">
        <v>40</v>
      </c>
    </row>
    <row r="119" spans="1:4" x14ac:dyDescent="0.25">
      <c r="A119" t="s">
        <v>636</v>
      </c>
      <c r="B119" t="s">
        <v>310</v>
      </c>
      <c r="C119" t="s">
        <v>153</v>
      </c>
      <c r="D119">
        <v>25</v>
      </c>
    </row>
    <row r="120" spans="1:4" x14ac:dyDescent="0.25">
      <c r="A120" t="s">
        <v>637</v>
      </c>
      <c r="B120" t="s">
        <v>310</v>
      </c>
      <c r="C120" t="s">
        <v>143</v>
      </c>
      <c r="D120">
        <v>14</v>
      </c>
    </row>
    <row r="121" spans="1:4" x14ac:dyDescent="0.25">
      <c r="A121" t="s">
        <v>638</v>
      </c>
      <c r="B121" t="s">
        <v>310</v>
      </c>
      <c r="C121" t="s">
        <v>171</v>
      </c>
      <c r="D121">
        <v>17</v>
      </c>
    </row>
    <row r="122" spans="1:4" x14ac:dyDescent="0.25">
      <c r="A122" t="s">
        <v>639</v>
      </c>
      <c r="B122" t="s">
        <v>310</v>
      </c>
      <c r="C122" t="s">
        <v>165</v>
      </c>
      <c r="D122">
        <v>29</v>
      </c>
    </row>
    <row r="123" spans="1:4" x14ac:dyDescent="0.25">
      <c r="A123" t="s">
        <v>640</v>
      </c>
      <c r="B123" t="s">
        <v>311</v>
      </c>
      <c r="C123" t="s">
        <v>141</v>
      </c>
      <c r="D123">
        <v>13</v>
      </c>
    </row>
    <row r="124" spans="1:4" x14ac:dyDescent="0.25">
      <c r="A124" t="s">
        <v>641</v>
      </c>
      <c r="B124" t="s">
        <v>311</v>
      </c>
      <c r="C124" t="s">
        <v>146</v>
      </c>
      <c r="D124">
        <v>50</v>
      </c>
    </row>
    <row r="125" spans="1:4" x14ac:dyDescent="0.25">
      <c r="A125" t="s">
        <v>642</v>
      </c>
      <c r="B125" t="s">
        <v>312</v>
      </c>
      <c r="C125" t="s">
        <v>141</v>
      </c>
      <c r="D125">
        <v>23</v>
      </c>
    </row>
    <row r="126" spans="1:4" x14ac:dyDescent="0.25">
      <c r="A126" t="s">
        <v>643</v>
      </c>
      <c r="B126" t="s">
        <v>312</v>
      </c>
      <c r="C126" t="s">
        <v>164</v>
      </c>
      <c r="D126">
        <v>31</v>
      </c>
    </row>
    <row r="127" spans="1:4" x14ac:dyDescent="0.25">
      <c r="A127" t="s">
        <v>644</v>
      </c>
      <c r="B127" t="s">
        <v>312</v>
      </c>
      <c r="C127" t="s">
        <v>164</v>
      </c>
      <c r="D127">
        <v>30</v>
      </c>
    </row>
    <row r="128" spans="1:4" x14ac:dyDescent="0.25">
      <c r="A128" t="s">
        <v>645</v>
      </c>
      <c r="B128" t="s">
        <v>312</v>
      </c>
      <c r="C128" t="s">
        <v>182</v>
      </c>
      <c r="D128">
        <v>43</v>
      </c>
    </row>
    <row r="129" spans="1:4" x14ac:dyDescent="0.25">
      <c r="A129" t="s">
        <v>646</v>
      </c>
      <c r="B129" t="s">
        <v>312</v>
      </c>
      <c r="C129" t="s">
        <v>150</v>
      </c>
      <c r="D129">
        <v>46</v>
      </c>
    </row>
    <row r="130" spans="1:4" x14ac:dyDescent="0.25">
      <c r="A130" t="s">
        <v>647</v>
      </c>
      <c r="B130" t="s">
        <v>313</v>
      </c>
      <c r="C130" t="s">
        <v>138</v>
      </c>
      <c r="D130">
        <v>18</v>
      </c>
    </row>
    <row r="131" spans="1:4" x14ac:dyDescent="0.25">
      <c r="A131" t="s">
        <v>648</v>
      </c>
      <c r="B131" t="s">
        <v>313</v>
      </c>
      <c r="C131" t="s">
        <v>154</v>
      </c>
      <c r="D131">
        <v>15</v>
      </c>
    </row>
    <row r="132" spans="1:4" x14ac:dyDescent="0.25">
      <c r="A132" t="s">
        <v>649</v>
      </c>
      <c r="B132" t="s">
        <v>314</v>
      </c>
      <c r="C132" t="s">
        <v>146</v>
      </c>
      <c r="D132">
        <v>43</v>
      </c>
    </row>
    <row r="133" spans="1:4" x14ac:dyDescent="0.25">
      <c r="A133" t="s">
        <v>650</v>
      </c>
      <c r="B133" t="s">
        <v>314</v>
      </c>
      <c r="C133" t="s">
        <v>146</v>
      </c>
      <c r="D133">
        <v>48</v>
      </c>
    </row>
    <row r="134" spans="1:4" x14ac:dyDescent="0.25">
      <c r="A134" t="s">
        <v>651</v>
      </c>
      <c r="B134" t="s">
        <v>314</v>
      </c>
      <c r="C134" t="s">
        <v>153</v>
      </c>
      <c r="D134">
        <v>19</v>
      </c>
    </row>
    <row r="135" spans="1:4" x14ac:dyDescent="0.25">
      <c r="A135" t="s">
        <v>652</v>
      </c>
      <c r="B135" t="s">
        <v>314</v>
      </c>
      <c r="C135" t="s">
        <v>168</v>
      </c>
      <c r="D135">
        <v>32</v>
      </c>
    </row>
    <row r="136" spans="1:4" x14ac:dyDescent="0.25">
      <c r="A136" t="s">
        <v>653</v>
      </c>
      <c r="B136" t="s">
        <v>315</v>
      </c>
      <c r="C136" t="s">
        <v>186</v>
      </c>
      <c r="D136">
        <v>33</v>
      </c>
    </row>
    <row r="137" spans="1:4" x14ac:dyDescent="0.25">
      <c r="A137" t="s">
        <v>654</v>
      </c>
      <c r="B137" t="s">
        <v>315</v>
      </c>
      <c r="C137" t="s">
        <v>160</v>
      </c>
      <c r="D137">
        <v>23</v>
      </c>
    </row>
    <row r="138" spans="1:4" x14ac:dyDescent="0.25">
      <c r="A138" t="s">
        <v>655</v>
      </c>
      <c r="B138" t="s">
        <v>315</v>
      </c>
      <c r="C138" t="s">
        <v>170</v>
      </c>
      <c r="D138">
        <v>22</v>
      </c>
    </row>
    <row r="139" spans="1:4" x14ac:dyDescent="0.25">
      <c r="A139" t="s">
        <v>656</v>
      </c>
      <c r="B139" t="s">
        <v>315</v>
      </c>
      <c r="C139" t="s">
        <v>164</v>
      </c>
      <c r="D139">
        <v>10</v>
      </c>
    </row>
    <row r="140" spans="1:4" x14ac:dyDescent="0.25">
      <c r="A140" t="s">
        <v>657</v>
      </c>
      <c r="B140" t="s">
        <v>315</v>
      </c>
      <c r="C140" t="s">
        <v>165</v>
      </c>
      <c r="D140">
        <v>31</v>
      </c>
    </row>
    <row r="141" spans="1:4" x14ac:dyDescent="0.25">
      <c r="A141" t="s">
        <v>658</v>
      </c>
      <c r="B141" t="s">
        <v>316</v>
      </c>
      <c r="C141" t="s">
        <v>153</v>
      </c>
      <c r="D141">
        <v>6</v>
      </c>
    </row>
    <row r="142" spans="1:4" x14ac:dyDescent="0.25">
      <c r="A142" t="s">
        <v>659</v>
      </c>
      <c r="B142" t="s">
        <v>316</v>
      </c>
      <c r="C142" t="s">
        <v>169</v>
      </c>
      <c r="D142">
        <v>20</v>
      </c>
    </row>
    <row r="143" spans="1:4" x14ac:dyDescent="0.25">
      <c r="A143" t="s">
        <v>660</v>
      </c>
      <c r="B143" t="s">
        <v>316</v>
      </c>
      <c r="C143" t="s">
        <v>153</v>
      </c>
      <c r="D143">
        <v>22</v>
      </c>
    </row>
    <row r="144" spans="1:4" x14ac:dyDescent="0.25">
      <c r="A144" t="s">
        <v>661</v>
      </c>
      <c r="B144" t="s">
        <v>316</v>
      </c>
      <c r="C144" t="s">
        <v>160</v>
      </c>
      <c r="D144">
        <v>33</v>
      </c>
    </row>
    <row r="145" spans="1:4" x14ac:dyDescent="0.25">
      <c r="A145" t="s">
        <v>662</v>
      </c>
      <c r="B145" t="s">
        <v>316</v>
      </c>
      <c r="C145" t="s">
        <v>150</v>
      </c>
      <c r="D145">
        <v>9</v>
      </c>
    </row>
    <row r="146" spans="1:4" x14ac:dyDescent="0.25">
      <c r="A146" t="s">
        <v>663</v>
      </c>
      <c r="B146" t="s">
        <v>317</v>
      </c>
      <c r="C146" t="s">
        <v>140</v>
      </c>
      <c r="D146">
        <v>21</v>
      </c>
    </row>
    <row r="147" spans="1:4" x14ac:dyDescent="0.25">
      <c r="A147" t="s">
        <v>664</v>
      </c>
      <c r="B147" t="s">
        <v>317</v>
      </c>
      <c r="C147" t="s">
        <v>173</v>
      </c>
      <c r="D147">
        <v>17</v>
      </c>
    </row>
    <row r="148" spans="1:4" x14ac:dyDescent="0.25">
      <c r="A148" t="s">
        <v>665</v>
      </c>
      <c r="B148" t="s">
        <v>318</v>
      </c>
      <c r="C148" t="s">
        <v>165</v>
      </c>
      <c r="D148">
        <v>13</v>
      </c>
    </row>
    <row r="149" spans="1:4" x14ac:dyDescent="0.25">
      <c r="A149" t="s">
        <v>666</v>
      </c>
      <c r="B149" t="s">
        <v>318</v>
      </c>
      <c r="C149" t="s">
        <v>170</v>
      </c>
      <c r="D149">
        <v>14</v>
      </c>
    </row>
    <row r="150" spans="1:4" x14ac:dyDescent="0.25">
      <c r="A150" t="s">
        <v>667</v>
      </c>
      <c r="B150" t="s">
        <v>318</v>
      </c>
      <c r="C150" t="s">
        <v>173</v>
      </c>
      <c r="D150">
        <v>5</v>
      </c>
    </row>
    <row r="151" spans="1:4" x14ac:dyDescent="0.25">
      <c r="A151" t="s">
        <v>668</v>
      </c>
      <c r="B151" t="s">
        <v>318</v>
      </c>
      <c r="C151" t="s">
        <v>141</v>
      </c>
      <c r="D151">
        <v>42</v>
      </c>
    </row>
    <row r="152" spans="1:4" x14ac:dyDescent="0.25">
      <c r="A152" t="s">
        <v>669</v>
      </c>
      <c r="B152" t="s">
        <v>319</v>
      </c>
      <c r="C152" t="s">
        <v>175</v>
      </c>
      <c r="D152">
        <v>7</v>
      </c>
    </row>
    <row r="153" spans="1:4" x14ac:dyDescent="0.25">
      <c r="A153" t="s">
        <v>670</v>
      </c>
      <c r="B153" t="s">
        <v>319</v>
      </c>
      <c r="C153" t="s">
        <v>164</v>
      </c>
      <c r="D153">
        <v>49</v>
      </c>
    </row>
    <row r="154" spans="1:4" x14ac:dyDescent="0.25">
      <c r="A154" t="s">
        <v>671</v>
      </c>
      <c r="B154" t="s">
        <v>320</v>
      </c>
      <c r="C154" t="s">
        <v>180</v>
      </c>
      <c r="D154">
        <v>24</v>
      </c>
    </row>
    <row r="155" spans="1:4" x14ac:dyDescent="0.25">
      <c r="A155" t="s">
        <v>672</v>
      </c>
      <c r="B155" t="s">
        <v>320</v>
      </c>
      <c r="C155" t="s">
        <v>161</v>
      </c>
      <c r="D155">
        <v>17</v>
      </c>
    </row>
    <row r="156" spans="1:4" x14ac:dyDescent="0.25">
      <c r="A156" t="s">
        <v>673</v>
      </c>
      <c r="B156" t="s">
        <v>320</v>
      </c>
      <c r="C156" t="s">
        <v>156</v>
      </c>
      <c r="D156">
        <v>6</v>
      </c>
    </row>
    <row r="157" spans="1:4" x14ac:dyDescent="0.25">
      <c r="A157" t="s">
        <v>674</v>
      </c>
      <c r="B157" t="s">
        <v>320</v>
      </c>
      <c r="C157" t="s">
        <v>142</v>
      </c>
      <c r="D157">
        <v>33</v>
      </c>
    </row>
    <row r="158" spans="1:4" x14ac:dyDescent="0.25">
      <c r="A158" t="s">
        <v>675</v>
      </c>
      <c r="B158" t="s">
        <v>321</v>
      </c>
      <c r="C158" t="s">
        <v>169</v>
      </c>
      <c r="D158">
        <v>43</v>
      </c>
    </row>
    <row r="159" spans="1:4" x14ac:dyDescent="0.25">
      <c r="A159" t="s">
        <v>676</v>
      </c>
      <c r="B159" t="s">
        <v>322</v>
      </c>
      <c r="C159" t="s">
        <v>182</v>
      </c>
      <c r="D159">
        <v>15</v>
      </c>
    </row>
    <row r="160" spans="1:4" x14ac:dyDescent="0.25">
      <c r="A160" t="s">
        <v>677</v>
      </c>
      <c r="B160" t="s">
        <v>323</v>
      </c>
      <c r="C160" t="s">
        <v>162</v>
      </c>
      <c r="D160">
        <v>20</v>
      </c>
    </row>
    <row r="161" spans="1:4" x14ac:dyDescent="0.25">
      <c r="A161" t="s">
        <v>678</v>
      </c>
      <c r="B161" t="s">
        <v>323</v>
      </c>
      <c r="C161" t="s">
        <v>182</v>
      </c>
      <c r="D161">
        <v>23</v>
      </c>
    </row>
    <row r="162" spans="1:4" x14ac:dyDescent="0.25">
      <c r="A162" t="s">
        <v>679</v>
      </c>
      <c r="B162" t="s">
        <v>323</v>
      </c>
      <c r="C162" t="s">
        <v>175</v>
      </c>
      <c r="D162">
        <v>46</v>
      </c>
    </row>
    <row r="163" spans="1:4" x14ac:dyDescent="0.25">
      <c r="A163" t="s">
        <v>680</v>
      </c>
      <c r="B163" t="s">
        <v>324</v>
      </c>
      <c r="C163" t="s">
        <v>173</v>
      </c>
      <c r="D163">
        <v>17</v>
      </c>
    </row>
    <row r="164" spans="1:4" x14ac:dyDescent="0.25">
      <c r="A164" t="s">
        <v>681</v>
      </c>
      <c r="B164" t="s">
        <v>325</v>
      </c>
      <c r="C164" t="s">
        <v>141</v>
      </c>
      <c r="D164">
        <v>4</v>
      </c>
    </row>
    <row r="165" spans="1:4" x14ac:dyDescent="0.25">
      <c r="A165" t="s">
        <v>682</v>
      </c>
      <c r="B165" t="s">
        <v>326</v>
      </c>
      <c r="C165" t="s">
        <v>146</v>
      </c>
      <c r="D165">
        <v>4</v>
      </c>
    </row>
    <row r="166" spans="1:4" x14ac:dyDescent="0.25">
      <c r="A166" t="s">
        <v>683</v>
      </c>
      <c r="B166" t="s">
        <v>326</v>
      </c>
      <c r="C166" t="s">
        <v>140</v>
      </c>
      <c r="D166">
        <v>50</v>
      </c>
    </row>
    <row r="167" spans="1:4" x14ac:dyDescent="0.25">
      <c r="A167" t="s">
        <v>684</v>
      </c>
      <c r="B167" t="s">
        <v>326</v>
      </c>
      <c r="C167" t="s">
        <v>168</v>
      </c>
      <c r="D167">
        <v>5</v>
      </c>
    </row>
    <row r="168" spans="1:4" x14ac:dyDescent="0.25">
      <c r="A168" t="s">
        <v>685</v>
      </c>
      <c r="B168" t="s">
        <v>326</v>
      </c>
      <c r="C168" t="s">
        <v>180</v>
      </c>
      <c r="D168">
        <v>14</v>
      </c>
    </row>
    <row r="169" spans="1:4" x14ac:dyDescent="0.25">
      <c r="A169" t="s">
        <v>686</v>
      </c>
      <c r="B169" t="s">
        <v>326</v>
      </c>
      <c r="C169" t="s">
        <v>140</v>
      </c>
      <c r="D169">
        <v>5</v>
      </c>
    </row>
    <row r="170" spans="1:4" x14ac:dyDescent="0.25">
      <c r="A170" t="s">
        <v>687</v>
      </c>
      <c r="B170" t="s">
        <v>327</v>
      </c>
      <c r="C170" t="s">
        <v>156</v>
      </c>
      <c r="D170">
        <v>40</v>
      </c>
    </row>
    <row r="171" spans="1:4" x14ac:dyDescent="0.25">
      <c r="A171" t="s">
        <v>688</v>
      </c>
      <c r="B171" t="s">
        <v>327</v>
      </c>
      <c r="C171" t="s">
        <v>165</v>
      </c>
      <c r="D171">
        <v>4</v>
      </c>
    </row>
    <row r="172" spans="1:4" x14ac:dyDescent="0.25">
      <c r="A172" t="s">
        <v>689</v>
      </c>
      <c r="B172" t="s">
        <v>328</v>
      </c>
      <c r="C172" t="s">
        <v>142</v>
      </c>
      <c r="D172">
        <v>49</v>
      </c>
    </row>
    <row r="173" spans="1:4" x14ac:dyDescent="0.25">
      <c r="A173" t="s">
        <v>690</v>
      </c>
      <c r="B173" t="s">
        <v>328</v>
      </c>
      <c r="C173" t="s">
        <v>142</v>
      </c>
      <c r="D173">
        <v>4</v>
      </c>
    </row>
    <row r="174" spans="1:4" x14ac:dyDescent="0.25">
      <c r="A174" t="s">
        <v>691</v>
      </c>
      <c r="B174" t="s">
        <v>328</v>
      </c>
      <c r="C174" t="s">
        <v>185</v>
      </c>
      <c r="D174">
        <v>49</v>
      </c>
    </row>
    <row r="175" spans="1:4" x14ac:dyDescent="0.25">
      <c r="A175" t="s">
        <v>692</v>
      </c>
      <c r="B175" t="s">
        <v>328</v>
      </c>
      <c r="C175" t="s">
        <v>143</v>
      </c>
      <c r="D175">
        <v>32</v>
      </c>
    </row>
    <row r="176" spans="1:4" x14ac:dyDescent="0.25">
      <c r="A176" t="s">
        <v>693</v>
      </c>
      <c r="B176" t="s">
        <v>328</v>
      </c>
      <c r="C176" t="s">
        <v>178</v>
      </c>
      <c r="D176">
        <v>48</v>
      </c>
    </row>
    <row r="177" spans="1:4" x14ac:dyDescent="0.25">
      <c r="A177" t="s">
        <v>694</v>
      </c>
      <c r="B177" t="s">
        <v>329</v>
      </c>
      <c r="C177" t="s">
        <v>147</v>
      </c>
      <c r="D177">
        <v>48</v>
      </c>
    </row>
    <row r="178" spans="1:4" x14ac:dyDescent="0.25">
      <c r="A178" t="s">
        <v>695</v>
      </c>
      <c r="B178" t="s">
        <v>329</v>
      </c>
      <c r="C178" t="s">
        <v>160</v>
      </c>
      <c r="D178">
        <v>13</v>
      </c>
    </row>
    <row r="179" spans="1:4" x14ac:dyDescent="0.25">
      <c r="A179" t="s">
        <v>696</v>
      </c>
      <c r="B179" t="s">
        <v>329</v>
      </c>
      <c r="C179" t="s">
        <v>160</v>
      </c>
      <c r="D179">
        <v>39</v>
      </c>
    </row>
    <row r="180" spans="1:4" x14ac:dyDescent="0.25">
      <c r="A180" t="s">
        <v>697</v>
      </c>
      <c r="B180" t="s">
        <v>330</v>
      </c>
      <c r="C180" t="s">
        <v>147</v>
      </c>
      <c r="D180">
        <v>22</v>
      </c>
    </row>
    <row r="181" spans="1:4" x14ac:dyDescent="0.25">
      <c r="A181" t="s">
        <v>698</v>
      </c>
      <c r="B181" t="s">
        <v>330</v>
      </c>
      <c r="C181" t="s">
        <v>153</v>
      </c>
      <c r="D181">
        <v>28</v>
      </c>
    </row>
    <row r="182" spans="1:4" x14ac:dyDescent="0.25">
      <c r="A182" t="s">
        <v>699</v>
      </c>
      <c r="B182" t="s">
        <v>330</v>
      </c>
      <c r="C182" t="s">
        <v>153</v>
      </c>
      <c r="D182">
        <v>2</v>
      </c>
    </row>
    <row r="183" spans="1:4" x14ac:dyDescent="0.25">
      <c r="A183" t="s">
        <v>700</v>
      </c>
      <c r="B183" t="s">
        <v>331</v>
      </c>
      <c r="C183" t="s">
        <v>163</v>
      </c>
      <c r="D183">
        <v>36</v>
      </c>
    </row>
    <row r="184" spans="1:4" x14ac:dyDescent="0.25">
      <c r="A184" t="s">
        <v>701</v>
      </c>
      <c r="B184" t="s">
        <v>331</v>
      </c>
      <c r="C184" t="s">
        <v>178</v>
      </c>
      <c r="D184">
        <v>20</v>
      </c>
    </row>
    <row r="185" spans="1:4" x14ac:dyDescent="0.25">
      <c r="A185" t="s">
        <v>702</v>
      </c>
      <c r="B185" t="s">
        <v>331</v>
      </c>
      <c r="C185" t="s">
        <v>155</v>
      </c>
      <c r="D185">
        <v>39</v>
      </c>
    </row>
    <row r="186" spans="1:4" x14ac:dyDescent="0.25">
      <c r="A186" t="s">
        <v>703</v>
      </c>
      <c r="B186" t="s">
        <v>331</v>
      </c>
      <c r="C186" t="s">
        <v>156</v>
      </c>
      <c r="D186">
        <v>7</v>
      </c>
    </row>
    <row r="187" spans="1:4" x14ac:dyDescent="0.25">
      <c r="A187" t="s">
        <v>704</v>
      </c>
      <c r="B187" t="s">
        <v>331</v>
      </c>
      <c r="C187" t="s">
        <v>144</v>
      </c>
      <c r="D187">
        <v>25</v>
      </c>
    </row>
    <row r="188" spans="1:4" x14ac:dyDescent="0.25">
      <c r="A188" t="s">
        <v>705</v>
      </c>
      <c r="B188" t="s">
        <v>332</v>
      </c>
      <c r="C188" t="s">
        <v>183</v>
      </c>
      <c r="D188">
        <v>6</v>
      </c>
    </row>
    <row r="189" spans="1:4" x14ac:dyDescent="0.25">
      <c r="A189" t="s">
        <v>706</v>
      </c>
      <c r="B189" t="s">
        <v>332</v>
      </c>
      <c r="C189" t="s">
        <v>147</v>
      </c>
      <c r="D189">
        <v>18</v>
      </c>
    </row>
    <row r="190" spans="1:4" x14ac:dyDescent="0.25">
      <c r="A190" t="s">
        <v>707</v>
      </c>
      <c r="B190" t="s">
        <v>332</v>
      </c>
      <c r="C190" t="s">
        <v>141</v>
      </c>
      <c r="D190">
        <v>34</v>
      </c>
    </row>
    <row r="191" spans="1:4" x14ac:dyDescent="0.25">
      <c r="A191" t="s">
        <v>708</v>
      </c>
      <c r="B191" t="s">
        <v>332</v>
      </c>
      <c r="C191" t="s">
        <v>171</v>
      </c>
      <c r="D191">
        <v>36</v>
      </c>
    </row>
    <row r="192" spans="1:4" x14ac:dyDescent="0.25">
      <c r="A192" t="s">
        <v>709</v>
      </c>
      <c r="B192" t="s">
        <v>332</v>
      </c>
      <c r="C192" t="s">
        <v>171</v>
      </c>
      <c r="D192">
        <v>43</v>
      </c>
    </row>
    <row r="193" spans="1:4" x14ac:dyDescent="0.25">
      <c r="A193" t="s">
        <v>710</v>
      </c>
      <c r="B193" t="s">
        <v>333</v>
      </c>
      <c r="C193" t="s">
        <v>185</v>
      </c>
      <c r="D193">
        <v>38</v>
      </c>
    </row>
    <row r="194" spans="1:4" x14ac:dyDescent="0.25">
      <c r="A194" t="s">
        <v>711</v>
      </c>
      <c r="B194" t="s">
        <v>334</v>
      </c>
      <c r="C194" t="s">
        <v>164</v>
      </c>
      <c r="D194">
        <v>6</v>
      </c>
    </row>
    <row r="195" spans="1:4" x14ac:dyDescent="0.25">
      <c r="A195" t="s">
        <v>712</v>
      </c>
      <c r="B195" t="s">
        <v>334</v>
      </c>
      <c r="C195" t="s">
        <v>141</v>
      </c>
      <c r="D195">
        <v>1</v>
      </c>
    </row>
    <row r="196" spans="1:4" x14ac:dyDescent="0.25">
      <c r="A196" t="s">
        <v>713</v>
      </c>
      <c r="B196" t="s">
        <v>334</v>
      </c>
      <c r="C196" t="s">
        <v>163</v>
      </c>
      <c r="D196">
        <v>22</v>
      </c>
    </row>
    <row r="197" spans="1:4" x14ac:dyDescent="0.25">
      <c r="A197" t="s">
        <v>714</v>
      </c>
      <c r="B197" t="s">
        <v>334</v>
      </c>
      <c r="C197" t="s">
        <v>140</v>
      </c>
      <c r="D197">
        <v>33</v>
      </c>
    </row>
    <row r="198" spans="1:4" x14ac:dyDescent="0.25">
      <c r="A198" t="s">
        <v>715</v>
      </c>
      <c r="B198" t="s">
        <v>334</v>
      </c>
      <c r="C198" t="s">
        <v>150</v>
      </c>
      <c r="D198">
        <v>11</v>
      </c>
    </row>
    <row r="199" spans="1:4" x14ac:dyDescent="0.25">
      <c r="A199" t="s">
        <v>716</v>
      </c>
      <c r="B199" t="s">
        <v>335</v>
      </c>
      <c r="C199" t="s">
        <v>153</v>
      </c>
      <c r="D199">
        <v>15</v>
      </c>
    </row>
    <row r="200" spans="1:4" x14ac:dyDescent="0.25">
      <c r="A200" t="s">
        <v>717</v>
      </c>
      <c r="B200" t="s">
        <v>335</v>
      </c>
      <c r="C200" t="s">
        <v>181</v>
      </c>
      <c r="D200">
        <v>19</v>
      </c>
    </row>
    <row r="201" spans="1:4" x14ac:dyDescent="0.25">
      <c r="A201" t="s">
        <v>718</v>
      </c>
      <c r="B201" t="s">
        <v>335</v>
      </c>
      <c r="C201" t="s">
        <v>157</v>
      </c>
      <c r="D201">
        <v>27</v>
      </c>
    </row>
    <row r="202" spans="1:4" x14ac:dyDescent="0.25">
      <c r="A202" t="s">
        <v>719</v>
      </c>
      <c r="B202" t="s">
        <v>335</v>
      </c>
      <c r="C202" t="s">
        <v>184</v>
      </c>
      <c r="D202">
        <v>9</v>
      </c>
    </row>
    <row r="203" spans="1:4" x14ac:dyDescent="0.25">
      <c r="A203" t="s">
        <v>720</v>
      </c>
      <c r="B203" t="s">
        <v>336</v>
      </c>
      <c r="C203" t="s">
        <v>140</v>
      </c>
      <c r="D203">
        <v>44</v>
      </c>
    </row>
    <row r="204" spans="1:4" x14ac:dyDescent="0.25">
      <c r="A204" t="s">
        <v>721</v>
      </c>
      <c r="B204" t="s">
        <v>337</v>
      </c>
      <c r="C204" t="s">
        <v>176</v>
      </c>
      <c r="D204">
        <v>31</v>
      </c>
    </row>
    <row r="205" spans="1:4" x14ac:dyDescent="0.25">
      <c r="A205" t="s">
        <v>722</v>
      </c>
      <c r="B205" t="s">
        <v>337</v>
      </c>
      <c r="C205" t="s">
        <v>165</v>
      </c>
      <c r="D205">
        <v>13</v>
      </c>
    </row>
    <row r="206" spans="1:4" x14ac:dyDescent="0.25">
      <c r="A206" t="s">
        <v>723</v>
      </c>
      <c r="B206" t="s">
        <v>337</v>
      </c>
      <c r="C206" t="s">
        <v>185</v>
      </c>
      <c r="D206">
        <v>41</v>
      </c>
    </row>
    <row r="207" spans="1:4" x14ac:dyDescent="0.25">
      <c r="A207" t="s">
        <v>724</v>
      </c>
      <c r="B207" t="s">
        <v>337</v>
      </c>
      <c r="C207" t="s">
        <v>153</v>
      </c>
      <c r="D207">
        <v>36</v>
      </c>
    </row>
    <row r="208" spans="1:4" x14ac:dyDescent="0.25">
      <c r="A208" t="s">
        <v>725</v>
      </c>
      <c r="B208" t="s">
        <v>337</v>
      </c>
      <c r="C208" t="s">
        <v>177</v>
      </c>
      <c r="D208">
        <v>29</v>
      </c>
    </row>
    <row r="209" spans="1:4" x14ac:dyDescent="0.25">
      <c r="A209" t="s">
        <v>726</v>
      </c>
      <c r="B209" t="s">
        <v>338</v>
      </c>
      <c r="C209" t="s">
        <v>182</v>
      </c>
      <c r="D209">
        <v>26</v>
      </c>
    </row>
    <row r="210" spans="1:4" x14ac:dyDescent="0.25">
      <c r="A210" t="s">
        <v>727</v>
      </c>
      <c r="B210" t="s">
        <v>338</v>
      </c>
      <c r="C210" t="s">
        <v>142</v>
      </c>
      <c r="D210">
        <v>31</v>
      </c>
    </row>
    <row r="211" spans="1:4" x14ac:dyDescent="0.25">
      <c r="A211" t="s">
        <v>728</v>
      </c>
      <c r="B211" t="s">
        <v>338</v>
      </c>
      <c r="C211" t="s">
        <v>144</v>
      </c>
      <c r="D211">
        <v>25</v>
      </c>
    </row>
    <row r="212" spans="1:4" x14ac:dyDescent="0.25">
      <c r="A212" t="s">
        <v>729</v>
      </c>
      <c r="B212" t="s">
        <v>339</v>
      </c>
      <c r="C212" t="s">
        <v>180</v>
      </c>
      <c r="D212">
        <v>46</v>
      </c>
    </row>
    <row r="213" spans="1:4" x14ac:dyDescent="0.25">
      <c r="A213" t="s">
        <v>730</v>
      </c>
      <c r="B213" t="s">
        <v>339</v>
      </c>
      <c r="C213" t="s">
        <v>184</v>
      </c>
      <c r="D213">
        <v>12</v>
      </c>
    </row>
    <row r="214" spans="1:4" x14ac:dyDescent="0.25">
      <c r="A214" t="s">
        <v>731</v>
      </c>
      <c r="B214" t="s">
        <v>339</v>
      </c>
      <c r="C214" t="s">
        <v>152</v>
      </c>
      <c r="D214">
        <v>11</v>
      </c>
    </row>
    <row r="215" spans="1:4" x14ac:dyDescent="0.25">
      <c r="A215" t="s">
        <v>732</v>
      </c>
      <c r="B215" t="s">
        <v>340</v>
      </c>
      <c r="C215" t="s">
        <v>177</v>
      </c>
      <c r="D215">
        <v>49</v>
      </c>
    </row>
    <row r="216" spans="1:4" x14ac:dyDescent="0.25">
      <c r="A216" t="s">
        <v>733</v>
      </c>
      <c r="B216" t="s">
        <v>340</v>
      </c>
      <c r="C216" t="s">
        <v>142</v>
      </c>
      <c r="D216">
        <v>26</v>
      </c>
    </row>
    <row r="217" spans="1:4" x14ac:dyDescent="0.25">
      <c r="A217" t="s">
        <v>734</v>
      </c>
      <c r="B217" t="s">
        <v>341</v>
      </c>
      <c r="C217" t="s">
        <v>134</v>
      </c>
      <c r="D217">
        <v>32</v>
      </c>
    </row>
    <row r="218" spans="1:4" x14ac:dyDescent="0.25">
      <c r="A218" t="s">
        <v>735</v>
      </c>
      <c r="B218" t="s">
        <v>341</v>
      </c>
      <c r="C218" t="s">
        <v>186</v>
      </c>
      <c r="D218">
        <v>46</v>
      </c>
    </row>
    <row r="219" spans="1:4" x14ac:dyDescent="0.25">
      <c r="A219" t="s">
        <v>736</v>
      </c>
      <c r="B219" t="s">
        <v>341</v>
      </c>
      <c r="C219" t="s">
        <v>155</v>
      </c>
      <c r="D219">
        <v>14</v>
      </c>
    </row>
    <row r="220" spans="1:4" x14ac:dyDescent="0.25">
      <c r="A220" t="s">
        <v>737</v>
      </c>
      <c r="B220" t="s">
        <v>341</v>
      </c>
      <c r="C220" t="s">
        <v>142</v>
      </c>
      <c r="D220">
        <v>39</v>
      </c>
    </row>
    <row r="221" spans="1:4" x14ac:dyDescent="0.25">
      <c r="A221" t="s">
        <v>738</v>
      </c>
      <c r="B221" t="s">
        <v>341</v>
      </c>
      <c r="C221" t="s">
        <v>138</v>
      </c>
      <c r="D221">
        <v>32</v>
      </c>
    </row>
    <row r="222" spans="1:4" x14ac:dyDescent="0.25">
      <c r="A222" t="s">
        <v>739</v>
      </c>
      <c r="B222" t="s">
        <v>342</v>
      </c>
      <c r="C222" t="s">
        <v>141</v>
      </c>
      <c r="D222">
        <v>44</v>
      </c>
    </row>
    <row r="223" spans="1:4" x14ac:dyDescent="0.25">
      <c r="A223" t="s">
        <v>740</v>
      </c>
      <c r="B223" t="s">
        <v>343</v>
      </c>
      <c r="C223" t="s">
        <v>162</v>
      </c>
      <c r="D223">
        <v>16</v>
      </c>
    </row>
    <row r="224" spans="1:4" x14ac:dyDescent="0.25">
      <c r="A224" t="s">
        <v>741</v>
      </c>
      <c r="B224" t="s">
        <v>343</v>
      </c>
      <c r="C224" t="s">
        <v>184</v>
      </c>
      <c r="D224">
        <v>2</v>
      </c>
    </row>
    <row r="225" spans="1:4" x14ac:dyDescent="0.25">
      <c r="A225" t="s">
        <v>742</v>
      </c>
      <c r="B225" t="s">
        <v>343</v>
      </c>
      <c r="C225" t="s">
        <v>146</v>
      </c>
      <c r="D225">
        <v>16</v>
      </c>
    </row>
    <row r="226" spans="1:4" x14ac:dyDescent="0.25">
      <c r="A226" t="s">
        <v>743</v>
      </c>
      <c r="B226" t="s">
        <v>343</v>
      </c>
      <c r="C226" t="s">
        <v>186</v>
      </c>
      <c r="D226">
        <v>15</v>
      </c>
    </row>
    <row r="227" spans="1:4" x14ac:dyDescent="0.25">
      <c r="A227" t="s">
        <v>744</v>
      </c>
      <c r="B227" t="s">
        <v>343</v>
      </c>
      <c r="C227" t="s">
        <v>138</v>
      </c>
      <c r="D227">
        <v>17</v>
      </c>
    </row>
    <row r="228" spans="1:4" x14ac:dyDescent="0.25">
      <c r="A228" t="s">
        <v>745</v>
      </c>
      <c r="B228" t="s">
        <v>344</v>
      </c>
      <c r="C228" t="s">
        <v>177</v>
      </c>
      <c r="D228">
        <v>25</v>
      </c>
    </row>
    <row r="229" spans="1:4" x14ac:dyDescent="0.25">
      <c r="A229" t="s">
        <v>746</v>
      </c>
      <c r="B229" t="s">
        <v>344</v>
      </c>
      <c r="C229" t="s">
        <v>177</v>
      </c>
      <c r="D229">
        <v>30</v>
      </c>
    </row>
    <row r="230" spans="1:4" x14ac:dyDescent="0.25">
      <c r="A230" t="s">
        <v>747</v>
      </c>
      <c r="B230" t="s">
        <v>345</v>
      </c>
      <c r="C230" t="s">
        <v>146</v>
      </c>
      <c r="D230">
        <v>2</v>
      </c>
    </row>
    <row r="231" spans="1:4" x14ac:dyDescent="0.25">
      <c r="A231" t="s">
        <v>748</v>
      </c>
      <c r="B231" t="s">
        <v>345</v>
      </c>
      <c r="C231" t="s">
        <v>138</v>
      </c>
      <c r="D231">
        <v>19</v>
      </c>
    </row>
    <row r="232" spans="1:4" x14ac:dyDescent="0.25">
      <c r="A232" t="s">
        <v>749</v>
      </c>
      <c r="B232" t="s">
        <v>345</v>
      </c>
      <c r="C232" t="s">
        <v>155</v>
      </c>
      <c r="D232">
        <v>42</v>
      </c>
    </row>
    <row r="233" spans="1:4" x14ac:dyDescent="0.25">
      <c r="A233" t="s">
        <v>750</v>
      </c>
      <c r="B233" t="s">
        <v>345</v>
      </c>
      <c r="C233" t="s">
        <v>186</v>
      </c>
      <c r="D233">
        <v>7</v>
      </c>
    </row>
    <row r="234" spans="1:4" x14ac:dyDescent="0.25">
      <c r="A234" t="s">
        <v>751</v>
      </c>
      <c r="B234" t="s">
        <v>345</v>
      </c>
      <c r="C234" t="s">
        <v>150</v>
      </c>
      <c r="D234">
        <v>11</v>
      </c>
    </row>
    <row r="235" spans="1:4" x14ac:dyDescent="0.25">
      <c r="A235" t="s">
        <v>752</v>
      </c>
      <c r="B235" t="s">
        <v>346</v>
      </c>
      <c r="C235" t="s">
        <v>143</v>
      </c>
      <c r="D235">
        <v>47</v>
      </c>
    </row>
    <row r="236" spans="1:4" x14ac:dyDescent="0.25">
      <c r="A236" t="s">
        <v>753</v>
      </c>
      <c r="B236" t="s">
        <v>346</v>
      </c>
      <c r="C236" t="s">
        <v>142</v>
      </c>
      <c r="D236">
        <v>7</v>
      </c>
    </row>
    <row r="237" spans="1:4" x14ac:dyDescent="0.25">
      <c r="A237" t="s">
        <v>754</v>
      </c>
      <c r="B237" t="s">
        <v>346</v>
      </c>
      <c r="C237" t="s">
        <v>178</v>
      </c>
      <c r="D237">
        <v>29</v>
      </c>
    </row>
    <row r="238" spans="1:4" x14ac:dyDescent="0.25">
      <c r="A238" t="s">
        <v>755</v>
      </c>
      <c r="B238" t="s">
        <v>346</v>
      </c>
      <c r="C238" t="s">
        <v>160</v>
      </c>
      <c r="D238">
        <v>42</v>
      </c>
    </row>
    <row r="239" spans="1:4" x14ac:dyDescent="0.25">
      <c r="A239" t="s">
        <v>756</v>
      </c>
      <c r="B239" t="s">
        <v>346</v>
      </c>
      <c r="C239" t="s">
        <v>147</v>
      </c>
      <c r="D239">
        <v>28</v>
      </c>
    </row>
    <row r="240" spans="1:4" x14ac:dyDescent="0.25">
      <c r="A240" t="s">
        <v>757</v>
      </c>
      <c r="B240" t="s">
        <v>347</v>
      </c>
      <c r="C240" t="s">
        <v>173</v>
      </c>
      <c r="D240">
        <v>16</v>
      </c>
    </row>
    <row r="241" spans="1:4" x14ac:dyDescent="0.25">
      <c r="A241" t="s">
        <v>758</v>
      </c>
      <c r="B241" t="s">
        <v>347</v>
      </c>
      <c r="C241" t="s">
        <v>170</v>
      </c>
      <c r="D241">
        <v>44</v>
      </c>
    </row>
    <row r="242" spans="1:4" x14ac:dyDescent="0.25">
      <c r="A242" t="s">
        <v>759</v>
      </c>
      <c r="B242" t="s">
        <v>348</v>
      </c>
      <c r="C242" t="s">
        <v>184</v>
      </c>
      <c r="D242">
        <v>22</v>
      </c>
    </row>
    <row r="243" spans="1:4" x14ac:dyDescent="0.25">
      <c r="A243" t="s">
        <v>760</v>
      </c>
      <c r="B243" t="s">
        <v>348</v>
      </c>
      <c r="C243" t="s">
        <v>181</v>
      </c>
      <c r="D243">
        <v>27</v>
      </c>
    </row>
    <row r="244" spans="1:4" x14ac:dyDescent="0.25">
      <c r="A244" t="s">
        <v>761</v>
      </c>
      <c r="B244" t="s">
        <v>348</v>
      </c>
      <c r="C244" t="s">
        <v>153</v>
      </c>
      <c r="D244">
        <v>12</v>
      </c>
    </row>
    <row r="245" spans="1:4" x14ac:dyDescent="0.25">
      <c r="A245" t="s">
        <v>762</v>
      </c>
      <c r="B245" t="s">
        <v>348</v>
      </c>
      <c r="C245" t="s">
        <v>176</v>
      </c>
      <c r="D245">
        <v>43</v>
      </c>
    </row>
    <row r="246" spans="1:4" x14ac:dyDescent="0.25">
      <c r="A246" t="s">
        <v>763</v>
      </c>
      <c r="B246" t="s">
        <v>348</v>
      </c>
      <c r="C246" t="s">
        <v>140</v>
      </c>
      <c r="D246">
        <v>38</v>
      </c>
    </row>
    <row r="247" spans="1:4" x14ac:dyDescent="0.25">
      <c r="A247" t="s">
        <v>764</v>
      </c>
      <c r="B247" t="s">
        <v>349</v>
      </c>
      <c r="C247" t="s">
        <v>160</v>
      </c>
      <c r="D247">
        <v>29</v>
      </c>
    </row>
    <row r="248" spans="1:4" x14ac:dyDescent="0.25">
      <c r="A248" t="s">
        <v>765</v>
      </c>
      <c r="B248" t="s">
        <v>349</v>
      </c>
      <c r="C248" t="s">
        <v>176</v>
      </c>
      <c r="D248">
        <v>15</v>
      </c>
    </row>
    <row r="249" spans="1:4" x14ac:dyDescent="0.25">
      <c r="A249" t="s">
        <v>766</v>
      </c>
      <c r="B249" t="s">
        <v>349</v>
      </c>
      <c r="C249" t="s">
        <v>176</v>
      </c>
      <c r="D249">
        <v>25</v>
      </c>
    </row>
    <row r="250" spans="1:4" x14ac:dyDescent="0.25">
      <c r="A250" t="s">
        <v>767</v>
      </c>
      <c r="B250" t="s">
        <v>350</v>
      </c>
      <c r="C250" t="s">
        <v>184</v>
      </c>
      <c r="D250">
        <v>23</v>
      </c>
    </row>
    <row r="251" spans="1:4" x14ac:dyDescent="0.25">
      <c r="A251" t="s">
        <v>768</v>
      </c>
      <c r="B251" t="s">
        <v>350</v>
      </c>
      <c r="C251" t="s">
        <v>160</v>
      </c>
      <c r="D251">
        <v>11</v>
      </c>
    </row>
    <row r="252" spans="1:4" x14ac:dyDescent="0.25">
      <c r="A252" t="s">
        <v>769</v>
      </c>
      <c r="B252" t="s">
        <v>350</v>
      </c>
      <c r="C252" t="s">
        <v>141</v>
      </c>
      <c r="D252">
        <v>8</v>
      </c>
    </row>
    <row r="253" spans="1:4" x14ac:dyDescent="0.25">
      <c r="A253" t="s">
        <v>770</v>
      </c>
      <c r="B253" t="s">
        <v>350</v>
      </c>
      <c r="C253" t="s">
        <v>165</v>
      </c>
      <c r="D253">
        <v>28</v>
      </c>
    </row>
    <row r="254" spans="1:4" x14ac:dyDescent="0.25">
      <c r="A254" t="s">
        <v>771</v>
      </c>
      <c r="B254" t="s">
        <v>351</v>
      </c>
      <c r="C254" t="s">
        <v>141</v>
      </c>
      <c r="D254">
        <v>5</v>
      </c>
    </row>
    <row r="255" spans="1:4" x14ac:dyDescent="0.25">
      <c r="A255" t="s">
        <v>772</v>
      </c>
      <c r="B255" t="s">
        <v>351</v>
      </c>
      <c r="C255" t="s">
        <v>173</v>
      </c>
      <c r="D255">
        <v>25</v>
      </c>
    </row>
    <row r="256" spans="1:4" x14ac:dyDescent="0.25">
      <c r="A256" t="s">
        <v>773</v>
      </c>
      <c r="B256" t="s">
        <v>352</v>
      </c>
      <c r="C256" t="s">
        <v>165</v>
      </c>
      <c r="D256">
        <v>38</v>
      </c>
    </row>
    <row r="257" spans="1:4" x14ac:dyDescent="0.25">
      <c r="A257" t="s">
        <v>774</v>
      </c>
      <c r="B257" t="s">
        <v>352</v>
      </c>
      <c r="C257" t="s">
        <v>143</v>
      </c>
      <c r="D257">
        <v>35</v>
      </c>
    </row>
    <row r="258" spans="1:4" x14ac:dyDescent="0.25">
      <c r="A258" t="s">
        <v>775</v>
      </c>
      <c r="B258" t="s">
        <v>352</v>
      </c>
      <c r="C258" t="s">
        <v>154</v>
      </c>
      <c r="D258">
        <v>32</v>
      </c>
    </row>
    <row r="259" spans="1:4" x14ac:dyDescent="0.25">
      <c r="A259" t="s">
        <v>776</v>
      </c>
      <c r="B259" t="s">
        <v>352</v>
      </c>
      <c r="C259" t="s">
        <v>186</v>
      </c>
      <c r="D259">
        <v>12</v>
      </c>
    </row>
    <row r="260" spans="1:4" x14ac:dyDescent="0.25">
      <c r="A260" t="s">
        <v>777</v>
      </c>
      <c r="B260" t="s">
        <v>353</v>
      </c>
      <c r="C260" t="s">
        <v>155</v>
      </c>
      <c r="D260">
        <v>8</v>
      </c>
    </row>
    <row r="261" spans="1:4" x14ac:dyDescent="0.25">
      <c r="A261" t="s">
        <v>778</v>
      </c>
      <c r="B261" t="s">
        <v>353</v>
      </c>
      <c r="C261" t="s">
        <v>150</v>
      </c>
      <c r="D261">
        <v>12</v>
      </c>
    </row>
    <row r="262" spans="1:4" x14ac:dyDescent="0.25">
      <c r="A262" t="s">
        <v>779</v>
      </c>
      <c r="B262" t="s">
        <v>353</v>
      </c>
      <c r="C262" t="s">
        <v>164</v>
      </c>
      <c r="D262">
        <v>37</v>
      </c>
    </row>
    <row r="263" spans="1:4" x14ac:dyDescent="0.25">
      <c r="A263" t="s">
        <v>780</v>
      </c>
      <c r="B263" t="s">
        <v>353</v>
      </c>
      <c r="C263" t="s">
        <v>162</v>
      </c>
      <c r="D263">
        <v>36</v>
      </c>
    </row>
    <row r="264" spans="1:4" x14ac:dyDescent="0.25">
      <c r="A264" t="s">
        <v>781</v>
      </c>
      <c r="B264" t="s">
        <v>354</v>
      </c>
      <c r="C264" t="s">
        <v>156</v>
      </c>
      <c r="D264">
        <v>48</v>
      </c>
    </row>
    <row r="265" spans="1:4" x14ac:dyDescent="0.25">
      <c r="A265" t="s">
        <v>782</v>
      </c>
      <c r="B265" t="s">
        <v>354</v>
      </c>
      <c r="C265" t="s">
        <v>185</v>
      </c>
      <c r="D265">
        <v>20</v>
      </c>
    </row>
    <row r="266" spans="1:4" x14ac:dyDescent="0.25">
      <c r="A266" t="s">
        <v>783</v>
      </c>
      <c r="B266" t="s">
        <v>355</v>
      </c>
      <c r="C266" t="s">
        <v>176</v>
      </c>
      <c r="D266">
        <v>19</v>
      </c>
    </row>
    <row r="267" spans="1:4" x14ac:dyDescent="0.25">
      <c r="A267" t="s">
        <v>784</v>
      </c>
      <c r="B267" t="s">
        <v>355</v>
      </c>
      <c r="C267" t="s">
        <v>162</v>
      </c>
      <c r="D267">
        <v>31</v>
      </c>
    </row>
    <row r="268" spans="1:4" x14ac:dyDescent="0.25">
      <c r="A268" t="s">
        <v>785</v>
      </c>
      <c r="B268" t="s">
        <v>356</v>
      </c>
      <c r="C268" t="s">
        <v>151</v>
      </c>
      <c r="D268">
        <v>30</v>
      </c>
    </row>
    <row r="269" spans="1:4" x14ac:dyDescent="0.25">
      <c r="A269" t="s">
        <v>786</v>
      </c>
      <c r="B269" t="s">
        <v>356</v>
      </c>
      <c r="C269" t="s">
        <v>180</v>
      </c>
      <c r="D269">
        <v>11</v>
      </c>
    </row>
    <row r="270" spans="1:4" x14ac:dyDescent="0.25">
      <c r="A270" t="s">
        <v>787</v>
      </c>
      <c r="B270" t="s">
        <v>356</v>
      </c>
      <c r="C270" t="s">
        <v>146</v>
      </c>
      <c r="D270">
        <v>41</v>
      </c>
    </row>
    <row r="271" spans="1:4" x14ac:dyDescent="0.25">
      <c r="A271" t="s">
        <v>788</v>
      </c>
      <c r="B271" t="s">
        <v>356</v>
      </c>
      <c r="C271" t="s">
        <v>178</v>
      </c>
      <c r="D271">
        <v>50</v>
      </c>
    </row>
    <row r="272" spans="1:4" x14ac:dyDescent="0.25">
      <c r="A272" t="s">
        <v>789</v>
      </c>
      <c r="B272" t="s">
        <v>357</v>
      </c>
      <c r="C272" t="s">
        <v>185</v>
      </c>
      <c r="D272">
        <v>16</v>
      </c>
    </row>
    <row r="273" spans="1:4" x14ac:dyDescent="0.25">
      <c r="A273" t="s">
        <v>790</v>
      </c>
      <c r="B273" t="s">
        <v>357</v>
      </c>
      <c r="C273" t="s">
        <v>163</v>
      </c>
      <c r="D273">
        <v>39</v>
      </c>
    </row>
    <row r="274" spans="1:4" x14ac:dyDescent="0.25">
      <c r="A274" t="s">
        <v>791</v>
      </c>
      <c r="B274" t="s">
        <v>357</v>
      </c>
      <c r="C274" t="s">
        <v>172</v>
      </c>
      <c r="D274">
        <v>20</v>
      </c>
    </row>
    <row r="275" spans="1:4" x14ac:dyDescent="0.25">
      <c r="A275" t="s">
        <v>792</v>
      </c>
      <c r="B275" t="s">
        <v>357</v>
      </c>
      <c r="C275" t="s">
        <v>160</v>
      </c>
      <c r="D275">
        <v>25</v>
      </c>
    </row>
    <row r="276" spans="1:4" x14ac:dyDescent="0.25">
      <c r="A276" t="s">
        <v>793</v>
      </c>
      <c r="B276" t="s">
        <v>357</v>
      </c>
      <c r="C276" t="s">
        <v>152</v>
      </c>
      <c r="D276">
        <v>16</v>
      </c>
    </row>
    <row r="277" spans="1:4" x14ac:dyDescent="0.25">
      <c r="A277" t="s">
        <v>794</v>
      </c>
      <c r="B277" t="s">
        <v>358</v>
      </c>
      <c r="C277" t="s">
        <v>184</v>
      </c>
      <c r="D277">
        <v>18</v>
      </c>
    </row>
    <row r="278" spans="1:4" x14ac:dyDescent="0.25">
      <c r="A278" t="s">
        <v>795</v>
      </c>
      <c r="B278" t="s">
        <v>358</v>
      </c>
      <c r="C278" t="s">
        <v>184</v>
      </c>
      <c r="D278">
        <v>6</v>
      </c>
    </row>
    <row r="279" spans="1:4" x14ac:dyDescent="0.25">
      <c r="A279" t="s">
        <v>796</v>
      </c>
      <c r="B279" t="s">
        <v>359</v>
      </c>
      <c r="C279" t="s">
        <v>186</v>
      </c>
      <c r="D279">
        <v>23</v>
      </c>
    </row>
    <row r="280" spans="1:4" x14ac:dyDescent="0.25">
      <c r="A280" t="s">
        <v>797</v>
      </c>
      <c r="B280" t="s">
        <v>360</v>
      </c>
      <c r="C280" t="s">
        <v>160</v>
      </c>
      <c r="D280">
        <v>48</v>
      </c>
    </row>
    <row r="281" spans="1:4" x14ac:dyDescent="0.25">
      <c r="A281" t="s">
        <v>798</v>
      </c>
      <c r="B281" t="s">
        <v>360</v>
      </c>
      <c r="C281" t="s">
        <v>180</v>
      </c>
      <c r="D281">
        <v>33</v>
      </c>
    </row>
    <row r="282" spans="1:4" x14ac:dyDescent="0.25">
      <c r="A282" t="s">
        <v>799</v>
      </c>
      <c r="B282" t="s">
        <v>361</v>
      </c>
      <c r="C282" t="s">
        <v>143</v>
      </c>
      <c r="D282">
        <v>14</v>
      </c>
    </row>
    <row r="283" spans="1:4" x14ac:dyDescent="0.25">
      <c r="A283" t="s">
        <v>800</v>
      </c>
      <c r="B283" t="s">
        <v>362</v>
      </c>
      <c r="C283" t="s">
        <v>134</v>
      </c>
      <c r="D283">
        <v>2</v>
      </c>
    </row>
    <row r="284" spans="1:4" x14ac:dyDescent="0.25">
      <c r="A284" t="s">
        <v>801</v>
      </c>
      <c r="B284" t="s">
        <v>362</v>
      </c>
      <c r="C284" t="s">
        <v>165</v>
      </c>
      <c r="D284">
        <v>23</v>
      </c>
    </row>
    <row r="285" spans="1:4" x14ac:dyDescent="0.25">
      <c r="A285" t="s">
        <v>802</v>
      </c>
      <c r="B285" t="s">
        <v>363</v>
      </c>
      <c r="C285" t="s">
        <v>162</v>
      </c>
      <c r="D285">
        <v>19</v>
      </c>
    </row>
    <row r="286" spans="1:4" x14ac:dyDescent="0.25">
      <c r="A286" t="s">
        <v>803</v>
      </c>
      <c r="B286" t="s">
        <v>364</v>
      </c>
      <c r="C286" t="s">
        <v>138</v>
      </c>
      <c r="D286">
        <v>16</v>
      </c>
    </row>
    <row r="287" spans="1:4" x14ac:dyDescent="0.25">
      <c r="A287" t="s">
        <v>804</v>
      </c>
      <c r="B287" t="s">
        <v>364</v>
      </c>
      <c r="C287" t="s">
        <v>154</v>
      </c>
      <c r="D287">
        <v>18</v>
      </c>
    </row>
    <row r="288" spans="1:4" x14ac:dyDescent="0.25">
      <c r="A288" t="s">
        <v>805</v>
      </c>
      <c r="B288" t="s">
        <v>364</v>
      </c>
      <c r="C288" t="s">
        <v>138</v>
      </c>
      <c r="D288">
        <v>13</v>
      </c>
    </row>
    <row r="289" spans="1:4" x14ac:dyDescent="0.25">
      <c r="A289" t="s">
        <v>806</v>
      </c>
      <c r="B289" t="s">
        <v>365</v>
      </c>
      <c r="C289" t="s">
        <v>164</v>
      </c>
      <c r="D289">
        <v>17</v>
      </c>
    </row>
    <row r="290" spans="1:4" x14ac:dyDescent="0.25">
      <c r="A290" t="s">
        <v>807</v>
      </c>
      <c r="B290" t="s">
        <v>365</v>
      </c>
      <c r="C290" t="s">
        <v>140</v>
      </c>
      <c r="D290">
        <v>7</v>
      </c>
    </row>
    <row r="291" spans="1:4" x14ac:dyDescent="0.25">
      <c r="A291" t="s">
        <v>808</v>
      </c>
      <c r="B291" t="s">
        <v>365</v>
      </c>
      <c r="C291" t="s">
        <v>171</v>
      </c>
      <c r="D291">
        <v>23</v>
      </c>
    </row>
    <row r="292" spans="1:4" x14ac:dyDescent="0.25">
      <c r="A292" t="s">
        <v>809</v>
      </c>
      <c r="B292" t="s">
        <v>365</v>
      </c>
      <c r="C292" t="s">
        <v>178</v>
      </c>
      <c r="D292">
        <v>39</v>
      </c>
    </row>
    <row r="293" spans="1:4" x14ac:dyDescent="0.25">
      <c r="A293" t="s">
        <v>810</v>
      </c>
      <c r="B293" t="s">
        <v>365</v>
      </c>
      <c r="C293" t="s">
        <v>164</v>
      </c>
      <c r="D293">
        <v>2</v>
      </c>
    </row>
    <row r="294" spans="1:4" x14ac:dyDescent="0.25">
      <c r="A294" t="s">
        <v>811</v>
      </c>
      <c r="B294" t="s">
        <v>366</v>
      </c>
      <c r="C294" t="s">
        <v>152</v>
      </c>
      <c r="D294">
        <v>4</v>
      </c>
    </row>
    <row r="295" spans="1:4" x14ac:dyDescent="0.25">
      <c r="A295" t="s">
        <v>812</v>
      </c>
      <c r="B295" t="s">
        <v>366</v>
      </c>
      <c r="C295" t="s">
        <v>180</v>
      </c>
      <c r="D295">
        <v>31</v>
      </c>
    </row>
    <row r="296" spans="1:4" x14ac:dyDescent="0.25">
      <c r="A296" t="s">
        <v>813</v>
      </c>
      <c r="B296" t="s">
        <v>367</v>
      </c>
      <c r="C296" t="s">
        <v>155</v>
      </c>
      <c r="D296">
        <v>37</v>
      </c>
    </row>
    <row r="297" spans="1:4" x14ac:dyDescent="0.25">
      <c r="A297" t="s">
        <v>814</v>
      </c>
      <c r="B297" t="s">
        <v>367</v>
      </c>
      <c r="C297" t="s">
        <v>163</v>
      </c>
      <c r="D297">
        <v>16</v>
      </c>
    </row>
    <row r="298" spans="1:4" x14ac:dyDescent="0.25">
      <c r="A298" t="s">
        <v>815</v>
      </c>
      <c r="B298" t="s">
        <v>367</v>
      </c>
      <c r="C298" t="s">
        <v>185</v>
      </c>
      <c r="D298">
        <v>7</v>
      </c>
    </row>
    <row r="299" spans="1:4" x14ac:dyDescent="0.25">
      <c r="A299" t="s">
        <v>816</v>
      </c>
      <c r="B299" t="s">
        <v>367</v>
      </c>
      <c r="C299" t="s">
        <v>180</v>
      </c>
      <c r="D299">
        <v>4</v>
      </c>
    </row>
    <row r="300" spans="1:4" x14ac:dyDescent="0.25">
      <c r="A300" t="s">
        <v>817</v>
      </c>
      <c r="B300" t="s">
        <v>367</v>
      </c>
      <c r="C300" t="s">
        <v>147</v>
      </c>
      <c r="D300">
        <v>33</v>
      </c>
    </row>
    <row r="301" spans="1:4" x14ac:dyDescent="0.25">
      <c r="A301" t="s">
        <v>818</v>
      </c>
      <c r="B301" t="s">
        <v>368</v>
      </c>
      <c r="C301" t="s">
        <v>143</v>
      </c>
      <c r="D301">
        <v>28</v>
      </c>
    </row>
    <row r="302" spans="1:4" x14ac:dyDescent="0.25">
      <c r="A302" t="s">
        <v>819</v>
      </c>
      <c r="B302" t="s">
        <v>368</v>
      </c>
      <c r="C302" t="s">
        <v>182</v>
      </c>
      <c r="D302">
        <v>14</v>
      </c>
    </row>
    <row r="303" spans="1:4" x14ac:dyDescent="0.25">
      <c r="A303" t="s">
        <v>820</v>
      </c>
      <c r="B303" t="s">
        <v>368</v>
      </c>
      <c r="C303" t="s">
        <v>138</v>
      </c>
      <c r="D303">
        <v>49</v>
      </c>
    </row>
    <row r="304" spans="1:4" x14ac:dyDescent="0.25">
      <c r="A304" t="s">
        <v>821</v>
      </c>
      <c r="B304" t="s">
        <v>369</v>
      </c>
      <c r="C304" t="s">
        <v>143</v>
      </c>
      <c r="D304">
        <v>44</v>
      </c>
    </row>
    <row r="305" spans="1:4" x14ac:dyDescent="0.25">
      <c r="A305" t="s">
        <v>822</v>
      </c>
      <c r="B305" t="s">
        <v>370</v>
      </c>
      <c r="C305" t="s">
        <v>177</v>
      </c>
      <c r="D305">
        <v>36</v>
      </c>
    </row>
    <row r="306" spans="1:4" x14ac:dyDescent="0.25">
      <c r="A306" t="s">
        <v>823</v>
      </c>
      <c r="B306" t="s">
        <v>370</v>
      </c>
      <c r="C306" t="s">
        <v>171</v>
      </c>
      <c r="D306">
        <v>48</v>
      </c>
    </row>
    <row r="307" spans="1:4" x14ac:dyDescent="0.25">
      <c r="A307" t="s">
        <v>824</v>
      </c>
      <c r="B307" t="s">
        <v>370</v>
      </c>
      <c r="C307" t="s">
        <v>157</v>
      </c>
      <c r="D307">
        <v>17</v>
      </c>
    </row>
    <row r="308" spans="1:4" x14ac:dyDescent="0.25">
      <c r="A308" t="s">
        <v>825</v>
      </c>
      <c r="B308" t="s">
        <v>371</v>
      </c>
      <c r="C308" t="s">
        <v>165</v>
      </c>
      <c r="D308">
        <v>41</v>
      </c>
    </row>
    <row r="309" spans="1:4" x14ac:dyDescent="0.25">
      <c r="A309" t="s">
        <v>826</v>
      </c>
      <c r="B309" t="s">
        <v>371</v>
      </c>
      <c r="C309" t="s">
        <v>183</v>
      </c>
      <c r="D309">
        <v>20</v>
      </c>
    </row>
    <row r="310" spans="1:4" x14ac:dyDescent="0.25">
      <c r="A310" t="s">
        <v>827</v>
      </c>
      <c r="B310" t="s">
        <v>371</v>
      </c>
      <c r="C310" t="s">
        <v>142</v>
      </c>
      <c r="D310">
        <v>50</v>
      </c>
    </row>
    <row r="311" spans="1:4" x14ac:dyDescent="0.25">
      <c r="A311" t="s">
        <v>828</v>
      </c>
      <c r="B311" t="s">
        <v>371</v>
      </c>
      <c r="C311" t="s">
        <v>163</v>
      </c>
      <c r="D311">
        <v>21</v>
      </c>
    </row>
    <row r="312" spans="1:4" x14ac:dyDescent="0.25">
      <c r="A312" t="s">
        <v>829</v>
      </c>
      <c r="B312" t="s">
        <v>372</v>
      </c>
      <c r="C312" t="s">
        <v>144</v>
      </c>
      <c r="D312">
        <v>44</v>
      </c>
    </row>
    <row r="313" spans="1:4" x14ac:dyDescent="0.25">
      <c r="A313" t="s">
        <v>830</v>
      </c>
      <c r="B313" t="s">
        <v>372</v>
      </c>
      <c r="C313" t="s">
        <v>156</v>
      </c>
      <c r="D313">
        <v>48</v>
      </c>
    </row>
    <row r="314" spans="1:4" x14ac:dyDescent="0.25">
      <c r="A314" t="s">
        <v>831</v>
      </c>
      <c r="B314" t="s">
        <v>373</v>
      </c>
      <c r="C314" t="s">
        <v>181</v>
      </c>
      <c r="D314">
        <v>49</v>
      </c>
    </row>
    <row r="315" spans="1:4" x14ac:dyDescent="0.25">
      <c r="A315" t="s">
        <v>832</v>
      </c>
      <c r="B315" t="s">
        <v>373</v>
      </c>
      <c r="C315" t="s">
        <v>185</v>
      </c>
      <c r="D315">
        <v>25</v>
      </c>
    </row>
    <row r="316" spans="1:4" x14ac:dyDescent="0.25">
      <c r="A316" t="s">
        <v>833</v>
      </c>
      <c r="B316" t="s">
        <v>373</v>
      </c>
      <c r="C316" t="s">
        <v>154</v>
      </c>
      <c r="D316">
        <v>50</v>
      </c>
    </row>
    <row r="317" spans="1:4" x14ac:dyDescent="0.25">
      <c r="A317" t="s">
        <v>834</v>
      </c>
      <c r="B317" t="s">
        <v>374</v>
      </c>
      <c r="C317" t="s">
        <v>168</v>
      </c>
      <c r="D317">
        <v>42</v>
      </c>
    </row>
    <row r="318" spans="1:4" x14ac:dyDescent="0.25">
      <c r="A318" t="s">
        <v>835</v>
      </c>
      <c r="B318" t="s">
        <v>374</v>
      </c>
      <c r="C318" t="s">
        <v>143</v>
      </c>
      <c r="D318">
        <v>45</v>
      </c>
    </row>
    <row r="319" spans="1:4" x14ac:dyDescent="0.25">
      <c r="A319" t="s">
        <v>836</v>
      </c>
      <c r="B319" t="s">
        <v>374</v>
      </c>
      <c r="C319" t="s">
        <v>183</v>
      </c>
      <c r="D319">
        <v>47</v>
      </c>
    </row>
    <row r="320" spans="1:4" x14ac:dyDescent="0.25">
      <c r="A320" t="s">
        <v>837</v>
      </c>
      <c r="B320" t="s">
        <v>374</v>
      </c>
      <c r="C320" t="s">
        <v>172</v>
      </c>
      <c r="D320">
        <v>10</v>
      </c>
    </row>
    <row r="321" spans="1:4" x14ac:dyDescent="0.25">
      <c r="A321" t="s">
        <v>838</v>
      </c>
      <c r="B321" t="s">
        <v>375</v>
      </c>
      <c r="C321" t="s">
        <v>160</v>
      </c>
      <c r="D321">
        <v>2</v>
      </c>
    </row>
    <row r="322" spans="1:4" x14ac:dyDescent="0.25">
      <c r="A322" t="s">
        <v>839</v>
      </c>
      <c r="B322" t="s">
        <v>375</v>
      </c>
      <c r="C322" t="s">
        <v>170</v>
      </c>
      <c r="D322">
        <v>19</v>
      </c>
    </row>
    <row r="323" spans="1:4" x14ac:dyDescent="0.25">
      <c r="A323" t="s">
        <v>840</v>
      </c>
      <c r="B323" t="s">
        <v>375</v>
      </c>
      <c r="C323" t="s">
        <v>172</v>
      </c>
      <c r="D323">
        <v>13</v>
      </c>
    </row>
    <row r="324" spans="1:4" x14ac:dyDescent="0.25">
      <c r="A324" t="s">
        <v>841</v>
      </c>
      <c r="B324" t="s">
        <v>375</v>
      </c>
      <c r="C324" t="s">
        <v>144</v>
      </c>
      <c r="D324">
        <v>28</v>
      </c>
    </row>
    <row r="325" spans="1:4" x14ac:dyDescent="0.25">
      <c r="A325" t="s">
        <v>842</v>
      </c>
      <c r="B325" t="s">
        <v>375</v>
      </c>
      <c r="C325" t="s">
        <v>143</v>
      </c>
      <c r="D325">
        <v>28</v>
      </c>
    </row>
    <row r="326" spans="1:4" x14ac:dyDescent="0.25">
      <c r="A326" t="s">
        <v>843</v>
      </c>
      <c r="B326" t="s">
        <v>376</v>
      </c>
      <c r="C326" t="s">
        <v>147</v>
      </c>
      <c r="D326">
        <v>41</v>
      </c>
    </row>
    <row r="327" spans="1:4" x14ac:dyDescent="0.25">
      <c r="A327" t="s">
        <v>844</v>
      </c>
      <c r="B327" t="s">
        <v>376</v>
      </c>
      <c r="C327" t="s">
        <v>146</v>
      </c>
      <c r="D327">
        <v>46</v>
      </c>
    </row>
    <row r="328" spans="1:4" x14ac:dyDescent="0.25">
      <c r="A328" t="s">
        <v>845</v>
      </c>
      <c r="B328" t="s">
        <v>376</v>
      </c>
      <c r="C328" t="s">
        <v>171</v>
      </c>
      <c r="D328">
        <v>20</v>
      </c>
    </row>
    <row r="329" spans="1:4" x14ac:dyDescent="0.25">
      <c r="A329" t="s">
        <v>846</v>
      </c>
      <c r="B329" t="s">
        <v>376</v>
      </c>
      <c r="C329" t="s">
        <v>173</v>
      </c>
      <c r="D329">
        <v>40</v>
      </c>
    </row>
    <row r="330" spans="1:4" x14ac:dyDescent="0.25">
      <c r="A330" t="s">
        <v>847</v>
      </c>
      <c r="B330" t="s">
        <v>376</v>
      </c>
      <c r="C330" t="s">
        <v>163</v>
      </c>
      <c r="D330">
        <v>26</v>
      </c>
    </row>
    <row r="331" spans="1:4" x14ac:dyDescent="0.25">
      <c r="A331" t="s">
        <v>848</v>
      </c>
      <c r="B331" t="s">
        <v>377</v>
      </c>
      <c r="C331" t="s">
        <v>184</v>
      </c>
      <c r="D331">
        <v>25</v>
      </c>
    </row>
    <row r="332" spans="1:4" x14ac:dyDescent="0.25">
      <c r="A332" t="s">
        <v>849</v>
      </c>
      <c r="B332" t="s">
        <v>377</v>
      </c>
      <c r="C332" t="s">
        <v>161</v>
      </c>
      <c r="D332">
        <v>13</v>
      </c>
    </row>
    <row r="333" spans="1:4" x14ac:dyDescent="0.25">
      <c r="A333" t="s">
        <v>850</v>
      </c>
      <c r="B333" t="s">
        <v>377</v>
      </c>
      <c r="C333" t="s">
        <v>151</v>
      </c>
      <c r="D333">
        <v>47</v>
      </c>
    </row>
    <row r="334" spans="1:4" x14ac:dyDescent="0.25">
      <c r="A334" t="s">
        <v>851</v>
      </c>
      <c r="B334" t="s">
        <v>378</v>
      </c>
      <c r="C334" t="s">
        <v>143</v>
      </c>
      <c r="D334">
        <v>37</v>
      </c>
    </row>
    <row r="335" spans="1:4" x14ac:dyDescent="0.25">
      <c r="A335" t="s">
        <v>852</v>
      </c>
      <c r="B335" t="s">
        <v>379</v>
      </c>
      <c r="C335" t="s">
        <v>155</v>
      </c>
      <c r="D335">
        <v>8</v>
      </c>
    </row>
    <row r="336" spans="1:4" x14ac:dyDescent="0.25">
      <c r="A336" t="s">
        <v>853</v>
      </c>
      <c r="B336" t="s">
        <v>379</v>
      </c>
      <c r="C336" t="s">
        <v>172</v>
      </c>
      <c r="D336">
        <v>26</v>
      </c>
    </row>
    <row r="337" spans="1:4" x14ac:dyDescent="0.25">
      <c r="A337" t="s">
        <v>854</v>
      </c>
      <c r="B337" t="s">
        <v>379</v>
      </c>
      <c r="C337" t="s">
        <v>142</v>
      </c>
      <c r="D337">
        <v>18</v>
      </c>
    </row>
    <row r="338" spans="1:4" x14ac:dyDescent="0.25">
      <c r="A338" t="s">
        <v>855</v>
      </c>
      <c r="B338" t="s">
        <v>379</v>
      </c>
      <c r="C338" t="s">
        <v>168</v>
      </c>
      <c r="D338">
        <v>13</v>
      </c>
    </row>
    <row r="339" spans="1:4" x14ac:dyDescent="0.25">
      <c r="A339" t="s">
        <v>856</v>
      </c>
      <c r="B339" t="s">
        <v>380</v>
      </c>
      <c r="C339" t="s">
        <v>176</v>
      </c>
      <c r="D339">
        <v>34</v>
      </c>
    </row>
    <row r="340" spans="1:4" x14ac:dyDescent="0.25">
      <c r="A340" t="s">
        <v>857</v>
      </c>
      <c r="B340" t="s">
        <v>381</v>
      </c>
      <c r="C340" t="s">
        <v>183</v>
      </c>
      <c r="D340">
        <v>10</v>
      </c>
    </row>
    <row r="341" spans="1:4" x14ac:dyDescent="0.25">
      <c r="A341" t="s">
        <v>858</v>
      </c>
      <c r="B341" t="s">
        <v>381</v>
      </c>
      <c r="C341" t="s">
        <v>154</v>
      </c>
      <c r="D341">
        <v>31</v>
      </c>
    </row>
    <row r="342" spans="1:4" x14ac:dyDescent="0.25">
      <c r="A342" t="s">
        <v>859</v>
      </c>
      <c r="B342" t="s">
        <v>381</v>
      </c>
      <c r="C342" t="s">
        <v>181</v>
      </c>
      <c r="D342">
        <v>24</v>
      </c>
    </row>
    <row r="343" spans="1:4" x14ac:dyDescent="0.25">
      <c r="A343" t="s">
        <v>860</v>
      </c>
      <c r="B343" t="s">
        <v>381</v>
      </c>
      <c r="C343" t="s">
        <v>151</v>
      </c>
      <c r="D343">
        <v>15</v>
      </c>
    </row>
    <row r="344" spans="1:4" x14ac:dyDescent="0.25">
      <c r="A344" t="s">
        <v>861</v>
      </c>
      <c r="B344" t="s">
        <v>381</v>
      </c>
      <c r="C344" t="s">
        <v>151</v>
      </c>
      <c r="D344">
        <v>43</v>
      </c>
    </row>
    <row r="345" spans="1:4" x14ac:dyDescent="0.25">
      <c r="A345" t="s">
        <v>862</v>
      </c>
      <c r="B345" t="s">
        <v>382</v>
      </c>
      <c r="C345" t="s">
        <v>146</v>
      </c>
      <c r="D345">
        <v>41</v>
      </c>
    </row>
    <row r="346" spans="1:4" x14ac:dyDescent="0.25">
      <c r="A346" t="s">
        <v>863</v>
      </c>
      <c r="B346" t="s">
        <v>382</v>
      </c>
      <c r="C346" t="s">
        <v>140</v>
      </c>
      <c r="D346">
        <v>34</v>
      </c>
    </row>
    <row r="347" spans="1:4" x14ac:dyDescent="0.25">
      <c r="A347" t="s">
        <v>864</v>
      </c>
      <c r="B347" t="s">
        <v>382</v>
      </c>
      <c r="C347" t="s">
        <v>156</v>
      </c>
      <c r="D347">
        <v>19</v>
      </c>
    </row>
    <row r="348" spans="1:4" x14ac:dyDescent="0.25">
      <c r="A348" t="s">
        <v>865</v>
      </c>
      <c r="B348" t="s">
        <v>383</v>
      </c>
      <c r="C348" t="s">
        <v>173</v>
      </c>
      <c r="D348">
        <v>38</v>
      </c>
    </row>
    <row r="349" spans="1:4" x14ac:dyDescent="0.25">
      <c r="A349" t="s">
        <v>866</v>
      </c>
      <c r="B349" t="s">
        <v>384</v>
      </c>
      <c r="C349" t="s">
        <v>155</v>
      </c>
      <c r="D349">
        <v>9</v>
      </c>
    </row>
    <row r="350" spans="1:4" x14ac:dyDescent="0.25">
      <c r="A350" t="s">
        <v>867</v>
      </c>
      <c r="B350" t="s">
        <v>384</v>
      </c>
      <c r="C350" t="s">
        <v>141</v>
      </c>
      <c r="D350">
        <v>38</v>
      </c>
    </row>
    <row r="351" spans="1:4" x14ac:dyDescent="0.25">
      <c r="A351" t="s">
        <v>868</v>
      </c>
      <c r="B351" t="s">
        <v>384</v>
      </c>
      <c r="C351" t="s">
        <v>185</v>
      </c>
      <c r="D351">
        <v>32</v>
      </c>
    </row>
    <row r="352" spans="1:4" x14ac:dyDescent="0.25">
      <c r="A352" t="s">
        <v>869</v>
      </c>
      <c r="B352" t="s">
        <v>384</v>
      </c>
      <c r="C352" t="s">
        <v>153</v>
      </c>
      <c r="D352">
        <v>35</v>
      </c>
    </row>
    <row r="353" spans="1:4" x14ac:dyDescent="0.25">
      <c r="A353" t="s">
        <v>870</v>
      </c>
      <c r="B353" t="s">
        <v>384</v>
      </c>
      <c r="C353" t="s">
        <v>144</v>
      </c>
      <c r="D353">
        <v>36</v>
      </c>
    </row>
    <row r="354" spans="1:4" x14ac:dyDescent="0.25">
      <c r="A354" t="s">
        <v>871</v>
      </c>
      <c r="B354" t="s">
        <v>385</v>
      </c>
      <c r="C354" t="s">
        <v>138</v>
      </c>
      <c r="D354">
        <v>42</v>
      </c>
    </row>
    <row r="355" spans="1:4" x14ac:dyDescent="0.25">
      <c r="A355" t="s">
        <v>872</v>
      </c>
      <c r="B355" t="s">
        <v>385</v>
      </c>
      <c r="C355" t="s">
        <v>169</v>
      </c>
      <c r="D355">
        <v>50</v>
      </c>
    </row>
    <row r="356" spans="1:4" x14ac:dyDescent="0.25">
      <c r="A356" t="s">
        <v>873</v>
      </c>
      <c r="B356" t="s">
        <v>385</v>
      </c>
      <c r="C356" t="s">
        <v>165</v>
      </c>
      <c r="D356">
        <v>40</v>
      </c>
    </row>
    <row r="357" spans="1:4" x14ac:dyDescent="0.25">
      <c r="A357" t="s">
        <v>874</v>
      </c>
      <c r="B357" t="s">
        <v>386</v>
      </c>
      <c r="C357" t="s">
        <v>185</v>
      </c>
      <c r="D357">
        <v>36</v>
      </c>
    </row>
    <row r="358" spans="1:4" x14ac:dyDescent="0.25">
      <c r="A358" t="s">
        <v>875</v>
      </c>
      <c r="B358" t="s">
        <v>386</v>
      </c>
      <c r="C358" t="s">
        <v>147</v>
      </c>
      <c r="D358">
        <v>24</v>
      </c>
    </row>
    <row r="359" spans="1:4" x14ac:dyDescent="0.25">
      <c r="A359" t="s">
        <v>876</v>
      </c>
      <c r="B359" t="s">
        <v>386</v>
      </c>
      <c r="C359" t="s">
        <v>140</v>
      </c>
      <c r="D359">
        <v>49</v>
      </c>
    </row>
    <row r="360" spans="1:4" x14ac:dyDescent="0.25">
      <c r="A360" t="s">
        <v>877</v>
      </c>
      <c r="B360" t="s">
        <v>386</v>
      </c>
      <c r="C360" t="s">
        <v>161</v>
      </c>
      <c r="D360">
        <v>5</v>
      </c>
    </row>
    <row r="361" spans="1:4" x14ac:dyDescent="0.25">
      <c r="A361" t="s">
        <v>878</v>
      </c>
      <c r="B361" t="s">
        <v>387</v>
      </c>
      <c r="C361" t="s">
        <v>143</v>
      </c>
      <c r="D361">
        <v>35</v>
      </c>
    </row>
    <row r="362" spans="1:4" x14ac:dyDescent="0.25">
      <c r="A362" t="s">
        <v>879</v>
      </c>
      <c r="B362" t="s">
        <v>387</v>
      </c>
      <c r="C362" t="s">
        <v>140</v>
      </c>
      <c r="D362">
        <v>25</v>
      </c>
    </row>
    <row r="363" spans="1:4" x14ac:dyDescent="0.25">
      <c r="A363" t="s">
        <v>880</v>
      </c>
      <c r="B363" t="s">
        <v>387</v>
      </c>
      <c r="C363" t="s">
        <v>162</v>
      </c>
      <c r="D363">
        <v>3</v>
      </c>
    </row>
    <row r="364" spans="1:4" x14ac:dyDescent="0.25">
      <c r="A364" t="s">
        <v>881</v>
      </c>
      <c r="B364" t="s">
        <v>387</v>
      </c>
      <c r="C364" t="s">
        <v>169</v>
      </c>
      <c r="D364">
        <v>19</v>
      </c>
    </row>
    <row r="365" spans="1:4" x14ac:dyDescent="0.25">
      <c r="A365" t="s">
        <v>882</v>
      </c>
      <c r="B365" t="s">
        <v>388</v>
      </c>
      <c r="C365" t="s">
        <v>157</v>
      </c>
      <c r="D365">
        <v>17</v>
      </c>
    </row>
    <row r="366" spans="1:4" x14ac:dyDescent="0.25">
      <c r="A366" t="s">
        <v>883</v>
      </c>
      <c r="B366" t="s">
        <v>388</v>
      </c>
      <c r="C366" t="s">
        <v>146</v>
      </c>
      <c r="D366">
        <v>39</v>
      </c>
    </row>
    <row r="367" spans="1:4" x14ac:dyDescent="0.25">
      <c r="A367" t="s">
        <v>884</v>
      </c>
      <c r="B367" t="s">
        <v>388</v>
      </c>
      <c r="C367" t="s">
        <v>144</v>
      </c>
      <c r="D367">
        <v>7</v>
      </c>
    </row>
    <row r="368" spans="1:4" x14ac:dyDescent="0.25">
      <c r="A368" t="s">
        <v>885</v>
      </c>
      <c r="B368" t="s">
        <v>388</v>
      </c>
      <c r="C368" t="s">
        <v>156</v>
      </c>
      <c r="D368">
        <v>7</v>
      </c>
    </row>
    <row r="369" spans="1:4" x14ac:dyDescent="0.25">
      <c r="A369" t="s">
        <v>886</v>
      </c>
      <c r="B369" t="s">
        <v>389</v>
      </c>
      <c r="C369" t="s">
        <v>175</v>
      </c>
      <c r="D369">
        <v>35</v>
      </c>
    </row>
    <row r="370" spans="1:4" x14ac:dyDescent="0.25">
      <c r="A370" t="s">
        <v>887</v>
      </c>
      <c r="B370" t="s">
        <v>390</v>
      </c>
      <c r="C370" t="s">
        <v>163</v>
      </c>
      <c r="D370">
        <v>16</v>
      </c>
    </row>
    <row r="371" spans="1:4" x14ac:dyDescent="0.25">
      <c r="A371" t="s">
        <v>888</v>
      </c>
      <c r="B371" t="s">
        <v>390</v>
      </c>
      <c r="C371" t="s">
        <v>178</v>
      </c>
      <c r="D371">
        <v>29</v>
      </c>
    </row>
    <row r="372" spans="1:4" x14ac:dyDescent="0.25">
      <c r="A372" t="s">
        <v>889</v>
      </c>
      <c r="B372" t="s">
        <v>390</v>
      </c>
      <c r="C372" t="s">
        <v>157</v>
      </c>
      <c r="D372">
        <v>21</v>
      </c>
    </row>
    <row r="373" spans="1:4" x14ac:dyDescent="0.25">
      <c r="A373" t="s">
        <v>890</v>
      </c>
      <c r="B373" t="s">
        <v>391</v>
      </c>
      <c r="C373" t="s">
        <v>146</v>
      </c>
      <c r="D373">
        <v>2</v>
      </c>
    </row>
    <row r="374" spans="1:4" x14ac:dyDescent="0.25">
      <c r="A374" t="s">
        <v>891</v>
      </c>
      <c r="B374" t="s">
        <v>391</v>
      </c>
      <c r="C374" t="s">
        <v>152</v>
      </c>
      <c r="D374">
        <v>11</v>
      </c>
    </row>
    <row r="375" spans="1:4" x14ac:dyDescent="0.25">
      <c r="A375" t="s">
        <v>892</v>
      </c>
      <c r="B375" t="s">
        <v>392</v>
      </c>
      <c r="C375" t="s">
        <v>183</v>
      </c>
      <c r="D375">
        <v>41</v>
      </c>
    </row>
    <row r="376" spans="1:4" x14ac:dyDescent="0.25">
      <c r="A376" t="s">
        <v>893</v>
      </c>
      <c r="B376" t="s">
        <v>392</v>
      </c>
      <c r="C376" t="s">
        <v>134</v>
      </c>
      <c r="D376">
        <v>39</v>
      </c>
    </row>
    <row r="377" spans="1:4" x14ac:dyDescent="0.25">
      <c r="A377" t="s">
        <v>894</v>
      </c>
      <c r="B377" t="s">
        <v>392</v>
      </c>
      <c r="C377" t="s">
        <v>165</v>
      </c>
      <c r="D377">
        <v>25</v>
      </c>
    </row>
    <row r="378" spans="1:4" x14ac:dyDescent="0.25">
      <c r="A378" t="s">
        <v>895</v>
      </c>
      <c r="B378" t="s">
        <v>393</v>
      </c>
      <c r="C378" t="s">
        <v>134</v>
      </c>
      <c r="D378">
        <v>11</v>
      </c>
    </row>
    <row r="379" spans="1:4" x14ac:dyDescent="0.25">
      <c r="A379" t="s">
        <v>896</v>
      </c>
      <c r="B379" t="s">
        <v>393</v>
      </c>
      <c r="C379" t="s">
        <v>138</v>
      </c>
      <c r="D379">
        <v>10</v>
      </c>
    </row>
    <row r="380" spans="1:4" x14ac:dyDescent="0.25">
      <c r="A380" t="s">
        <v>897</v>
      </c>
      <c r="B380" t="s">
        <v>393</v>
      </c>
      <c r="C380" t="s">
        <v>142</v>
      </c>
      <c r="D380">
        <v>25</v>
      </c>
    </row>
    <row r="381" spans="1:4" x14ac:dyDescent="0.25">
      <c r="A381" t="s">
        <v>898</v>
      </c>
      <c r="B381" t="s">
        <v>393</v>
      </c>
      <c r="C381" t="s">
        <v>142</v>
      </c>
      <c r="D381">
        <v>29</v>
      </c>
    </row>
    <row r="382" spans="1:4" x14ac:dyDescent="0.25">
      <c r="A382" t="s">
        <v>899</v>
      </c>
      <c r="B382" t="s">
        <v>393</v>
      </c>
      <c r="C382" t="s">
        <v>140</v>
      </c>
      <c r="D382">
        <v>38</v>
      </c>
    </row>
    <row r="383" spans="1:4" x14ac:dyDescent="0.25">
      <c r="A383" t="s">
        <v>900</v>
      </c>
      <c r="B383" t="s">
        <v>394</v>
      </c>
      <c r="C383" t="s">
        <v>180</v>
      </c>
      <c r="D383">
        <v>15</v>
      </c>
    </row>
    <row r="384" spans="1:4" x14ac:dyDescent="0.25">
      <c r="A384" t="s">
        <v>901</v>
      </c>
      <c r="B384" t="s">
        <v>394</v>
      </c>
      <c r="C384" t="s">
        <v>168</v>
      </c>
      <c r="D384">
        <v>9</v>
      </c>
    </row>
    <row r="385" spans="1:4" x14ac:dyDescent="0.25">
      <c r="A385" t="s">
        <v>902</v>
      </c>
      <c r="B385" t="s">
        <v>394</v>
      </c>
      <c r="C385" t="s">
        <v>150</v>
      </c>
      <c r="D385">
        <v>13</v>
      </c>
    </row>
    <row r="386" spans="1:4" x14ac:dyDescent="0.25">
      <c r="A386" t="s">
        <v>903</v>
      </c>
      <c r="B386" t="s">
        <v>394</v>
      </c>
      <c r="C386" t="s">
        <v>144</v>
      </c>
      <c r="D386">
        <v>8</v>
      </c>
    </row>
    <row r="387" spans="1:4" x14ac:dyDescent="0.25">
      <c r="A387" t="s">
        <v>904</v>
      </c>
      <c r="B387" t="s">
        <v>395</v>
      </c>
      <c r="C387" t="s">
        <v>178</v>
      </c>
      <c r="D387">
        <v>49</v>
      </c>
    </row>
    <row r="388" spans="1:4" x14ac:dyDescent="0.25">
      <c r="A388" t="s">
        <v>905</v>
      </c>
      <c r="B388" t="s">
        <v>396</v>
      </c>
      <c r="C388" t="s">
        <v>170</v>
      </c>
      <c r="D388">
        <v>24</v>
      </c>
    </row>
    <row r="389" spans="1:4" x14ac:dyDescent="0.25">
      <c r="A389" t="s">
        <v>906</v>
      </c>
      <c r="B389" t="s">
        <v>396</v>
      </c>
      <c r="C389" t="s">
        <v>178</v>
      </c>
      <c r="D389">
        <v>5</v>
      </c>
    </row>
    <row r="390" spans="1:4" x14ac:dyDescent="0.25">
      <c r="A390" t="s">
        <v>907</v>
      </c>
      <c r="B390" t="s">
        <v>397</v>
      </c>
      <c r="C390" t="s">
        <v>177</v>
      </c>
      <c r="D390">
        <v>36</v>
      </c>
    </row>
    <row r="391" spans="1:4" x14ac:dyDescent="0.25">
      <c r="A391" t="s">
        <v>908</v>
      </c>
      <c r="B391" t="s">
        <v>397</v>
      </c>
      <c r="C391" t="s">
        <v>171</v>
      </c>
      <c r="D391">
        <v>11</v>
      </c>
    </row>
    <row r="392" spans="1:4" x14ac:dyDescent="0.25">
      <c r="A392" t="s">
        <v>909</v>
      </c>
      <c r="B392" t="s">
        <v>397</v>
      </c>
      <c r="C392" t="s">
        <v>138</v>
      </c>
      <c r="D392">
        <v>22</v>
      </c>
    </row>
    <row r="393" spans="1:4" x14ac:dyDescent="0.25">
      <c r="A393" t="s">
        <v>910</v>
      </c>
      <c r="B393" t="s">
        <v>398</v>
      </c>
      <c r="C393" t="s">
        <v>141</v>
      </c>
      <c r="D393">
        <v>21</v>
      </c>
    </row>
    <row r="394" spans="1:4" x14ac:dyDescent="0.25">
      <c r="A394" t="s">
        <v>911</v>
      </c>
      <c r="B394" t="s">
        <v>398</v>
      </c>
      <c r="C394" t="s">
        <v>171</v>
      </c>
      <c r="D394">
        <v>5</v>
      </c>
    </row>
    <row r="395" spans="1:4" x14ac:dyDescent="0.25">
      <c r="A395" t="s">
        <v>912</v>
      </c>
      <c r="B395" t="s">
        <v>398</v>
      </c>
      <c r="C395" t="s">
        <v>140</v>
      </c>
      <c r="D395">
        <v>18</v>
      </c>
    </row>
    <row r="396" spans="1:4" x14ac:dyDescent="0.25">
      <c r="A396" t="s">
        <v>913</v>
      </c>
      <c r="B396" t="s">
        <v>398</v>
      </c>
      <c r="C396" t="s">
        <v>152</v>
      </c>
      <c r="D396">
        <v>35</v>
      </c>
    </row>
    <row r="397" spans="1:4" x14ac:dyDescent="0.25">
      <c r="A397" t="s">
        <v>914</v>
      </c>
      <c r="B397" t="s">
        <v>399</v>
      </c>
      <c r="C397" t="s">
        <v>180</v>
      </c>
      <c r="D397">
        <v>8</v>
      </c>
    </row>
    <row r="398" spans="1:4" x14ac:dyDescent="0.25">
      <c r="A398" t="s">
        <v>915</v>
      </c>
      <c r="B398" t="s">
        <v>399</v>
      </c>
      <c r="C398" t="s">
        <v>153</v>
      </c>
      <c r="D398">
        <v>28</v>
      </c>
    </row>
    <row r="399" spans="1:4" x14ac:dyDescent="0.25">
      <c r="A399" t="s">
        <v>916</v>
      </c>
      <c r="B399" t="s">
        <v>400</v>
      </c>
      <c r="C399" t="s">
        <v>182</v>
      </c>
      <c r="D399">
        <v>11</v>
      </c>
    </row>
    <row r="400" spans="1:4" x14ac:dyDescent="0.25">
      <c r="A400" t="s">
        <v>917</v>
      </c>
      <c r="B400" t="s">
        <v>400</v>
      </c>
      <c r="C400" t="s">
        <v>141</v>
      </c>
      <c r="D400">
        <v>11</v>
      </c>
    </row>
    <row r="401" spans="1:4" x14ac:dyDescent="0.25">
      <c r="A401" t="s">
        <v>918</v>
      </c>
      <c r="B401" t="s">
        <v>401</v>
      </c>
      <c r="C401" t="s">
        <v>142</v>
      </c>
      <c r="D401">
        <v>15</v>
      </c>
    </row>
    <row r="402" spans="1:4" x14ac:dyDescent="0.25">
      <c r="A402" t="s">
        <v>919</v>
      </c>
      <c r="B402" t="s">
        <v>401</v>
      </c>
      <c r="C402" t="s">
        <v>177</v>
      </c>
      <c r="D402">
        <v>34</v>
      </c>
    </row>
    <row r="403" spans="1:4" x14ac:dyDescent="0.25">
      <c r="A403" t="s">
        <v>920</v>
      </c>
      <c r="B403" t="s">
        <v>401</v>
      </c>
      <c r="C403" t="s">
        <v>185</v>
      </c>
      <c r="D403">
        <v>26</v>
      </c>
    </row>
    <row r="404" spans="1:4" x14ac:dyDescent="0.25">
      <c r="A404" t="s">
        <v>921</v>
      </c>
      <c r="B404" t="s">
        <v>402</v>
      </c>
      <c r="C404" t="s">
        <v>162</v>
      </c>
      <c r="D404">
        <v>1</v>
      </c>
    </row>
    <row r="405" spans="1:4" x14ac:dyDescent="0.25">
      <c r="A405" t="s">
        <v>922</v>
      </c>
      <c r="B405" t="s">
        <v>402</v>
      </c>
      <c r="C405" t="s">
        <v>165</v>
      </c>
      <c r="D405">
        <v>8</v>
      </c>
    </row>
    <row r="406" spans="1:4" x14ac:dyDescent="0.25">
      <c r="A406" t="s">
        <v>923</v>
      </c>
      <c r="B406" t="s">
        <v>402</v>
      </c>
      <c r="C406" t="s">
        <v>151</v>
      </c>
      <c r="D406">
        <v>3</v>
      </c>
    </row>
    <row r="407" spans="1:4" x14ac:dyDescent="0.25">
      <c r="A407" t="s">
        <v>924</v>
      </c>
      <c r="B407" t="s">
        <v>402</v>
      </c>
      <c r="C407" t="s">
        <v>165</v>
      </c>
      <c r="D407">
        <v>27</v>
      </c>
    </row>
    <row r="408" spans="1:4" x14ac:dyDescent="0.25">
      <c r="A408" t="s">
        <v>925</v>
      </c>
      <c r="B408" t="s">
        <v>403</v>
      </c>
      <c r="C408" t="s">
        <v>157</v>
      </c>
      <c r="D408">
        <v>1</v>
      </c>
    </row>
    <row r="409" spans="1:4" x14ac:dyDescent="0.25">
      <c r="A409" t="s">
        <v>926</v>
      </c>
      <c r="B409" t="s">
        <v>403</v>
      </c>
      <c r="C409" t="s">
        <v>140</v>
      </c>
      <c r="D409">
        <v>15</v>
      </c>
    </row>
    <row r="410" spans="1:4" x14ac:dyDescent="0.25">
      <c r="A410" t="s">
        <v>927</v>
      </c>
      <c r="B410" t="s">
        <v>403</v>
      </c>
      <c r="C410" t="s">
        <v>168</v>
      </c>
      <c r="D410">
        <v>26</v>
      </c>
    </row>
    <row r="411" spans="1:4" x14ac:dyDescent="0.25">
      <c r="A411" t="s">
        <v>928</v>
      </c>
      <c r="B411" t="s">
        <v>403</v>
      </c>
      <c r="C411" t="s">
        <v>169</v>
      </c>
      <c r="D411">
        <v>48</v>
      </c>
    </row>
    <row r="412" spans="1:4" x14ac:dyDescent="0.25">
      <c r="A412" t="s">
        <v>929</v>
      </c>
      <c r="B412" t="s">
        <v>403</v>
      </c>
      <c r="C412" t="s">
        <v>184</v>
      </c>
      <c r="D412">
        <v>28</v>
      </c>
    </row>
    <row r="413" spans="1:4" x14ac:dyDescent="0.25">
      <c r="A413" t="s">
        <v>930</v>
      </c>
      <c r="B413" t="s">
        <v>404</v>
      </c>
      <c r="C413" t="s">
        <v>178</v>
      </c>
      <c r="D413">
        <v>26</v>
      </c>
    </row>
    <row r="414" spans="1:4" x14ac:dyDescent="0.25">
      <c r="A414" t="s">
        <v>931</v>
      </c>
      <c r="B414" t="s">
        <v>404</v>
      </c>
      <c r="C414" t="s">
        <v>152</v>
      </c>
      <c r="D414">
        <v>29</v>
      </c>
    </row>
    <row r="415" spans="1:4" x14ac:dyDescent="0.25">
      <c r="A415" t="s">
        <v>932</v>
      </c>
      <c r="B415" t="s">
        <v>404</v>
      </c>
      <c r="C415" t="s">
        <v>185</v>
      </c>
      <c r="D415">
        <v>47</v>
      </c>
    </row>
    <row r="416" spans="1:4" x14ac:dyDescent="0.25">
      <c r="A416" t="s">
        <v>933</v>
      </c>
      <c r="B416" t="s">
        <v>404</v>
      </c>
      <c r="C416" t="s">
        <v>168</v>
      </c>
      <c r="D416">
        <v>9</v>
      </c>
    </row>
    <row r="417" spans="1:4" x14ac:dyDescent="0.25">
      <c r="A417" t="s">
        <v>934</v>
      </c>
      <c r="B417" t="s">
        <v>405</v>
      </c>
      <c r="C417" t="s">
        <v>150</v>
      </c>
      <c r="D417">
        <v>4</v>
      </c>
    </row>
    <row r="418" spans="1:4" x14ac:dyDescent="0.25">
      <c r="A418" t="s">
        <v>935</v>
      </c>
      <c r="B418" t="s">
        <v>405</v>
      </c>
      <c r="C418" t="s">
        <v>151</v>
      </c>
      <c r="D418">
        <v>23</v>
      </c>
    </row>
    <row r="419" spans="1:4" x14ac:dyDescent="0.25">
      <c r="A419" t="s">
        <v>936</v>
      </c>
      <c r="B419" t="s">
        <v>405</v>
      </c>
      <c r="C419" t="s">
        <v>168</v>
      </c>
      <c r="D419">
        <v>43</v>
      </c>
    </row>
    <row r="420" spans="1:4" x14ac:dyDescent="0.25">
      <c r="A420" t="s">
        <v>937</v>
      </c>
      <c r="B420" t="s">
        <v>406</v>
      </c>
      <c r="C420" t="s">
        <v>157</v>
      </c>
      <c r="D420">
        <v>16</v>
      </c>
    </row>
    <row r="421" spans="1:4" x14ac:dyDescent="0.25">
      <c r="A421" t="s">
        <v>938</v>
      </c>
      <c r="B421" t="s">
        <v>406</v>
      </c>
      <c r="C421" t="s">
        <v>185</v>
      </c>
      <c r="D421">
        <v>16</v>
      </c>
    </row>
    <row r="422" spans="1:4" x14ac:dyDescent="0.25">
      <c r="A422" t="s">
        <v>939</v>
      </c>
      <c r="B422" t="s">
        <v>406</v>
      </c>
      <c r="C422" t="s">
        <v>147</v>
      </c>
      <c r="D422">
        <v>3</v>
      </c>
    </row>
    <row r="423" spans="1:4" x14ac:dyDescent="0.25">
      <c r="A423" t="s">
        <v>940</v>
      </c>
      <c r="B423" t="s">
        <v>406</v>
      </c>
      <c r="C423" t="s">
        <v>181</v>
      </c>
      <c r="D423">
        <v>8</v>
      </c>
    </row>
    <row r="424" spans="1:4" x14ac:dyDescent="0.25">
      <c r="A424" t="s">
        <v>941</v>
      </c>
      <c r="B424" t="s">
        <v>407</v>
      </c>
      <c r="C424" t="s">
        <v>152</v>
      </c>
      <c r="D424">
        <v>20</v>
      </c>
    </row>
    <row r="425" spans="1:4" x14ac:dyDescent="0.25">
      <c r="A425" t="s">
        <v>942</v>
      </c>
      <c r="B425" t="s">
        <v>407</v>
      </c>
      <c r="C425" t="s">
        <v>155</v>
      </c>
      <c r="D425">
        <v>38</v>
      </c>
    </row>
    <row r="426" spans="1:4" x14ac:dyDescent="0.25">
      <c r="A426" t="s">
        <v>943</v>
      </c>
      <c r="B426" t="s">
        <v>407</v>
      </c>
      <c r="C426" t="s">
        <v>185</v>
      </c>
      <c r="D426">
        <v>41</v>
      </c>
    </row>
    <row r="427" spans="1:4" x14ac:dyDescent="0.25">
      <c r="A427" t="s">
        <v>944</v>
      </c>
      <c r="B427" t="s">
        <v>408</v>
      </c>
      <c r="C427" t="s">
        <v>160</v>
      </c>
      <c r="D427">
        <v>27</v>
      </c>
    </row>
    <row r="428" spans="1:4" x14ac:dyDescent="0.25">
      <c r="A428" t="s">
        <v>945</v>
      </c>
      <c r="B428" t="s">
        <v>409</v>
      </c>
      <c r="C428" t="s">
        <v>160</v>
      </c>
      <c r="D428">
        <v>18</v>
      </c>
    </row>
    <row r="429" spans="1:4" x14ac:dyDescent="0.25">
      <c r="A429" t="s">
        <v>946</v>
      </c>
      <c r="B429" t="s">
        <v>409</v>
      </c>
      <c r="C429" t="s">
        <v>154</v>
      </c>
      <c r="D429">
        <v>2</v>
      </c>
    </row>
    <row r="430" spans="1:4" x14ac:dyDescent="0.25">
      <c r="A430" t="s">
        <v>947</v>
      </c>
      <c r="B430" t="s">
        <v>409</v>
      </c>
      <c r="C430" t="s">
        <v>183</v>
      </c>
      <c r="D430">
        <v>7</v>
      </c>
    </row>
    <row r="431" spans="1:4" x14ac:dyDescent="0.25">
      <c r="A431" t="s">
        <v>948</v>
      </c>
      <c r="B431" t="s">
        <v>409</v>
      </c>
      <c r="C431" t="s">
        <v>181</v>
      </c>
      <c r="D431">
        <v>5</v>
      </c>
    </row>
    <row r="432" spans="1:4" x14ac:dyDescent="0.25">
      <c r="A432" t="s">
        <v>949</v>
      </c>
      <c r="B432" t="s">
        <v>410</v>
      </c>
      <c r="C432" t="s">
        <v>162</v>
      </c>
      <c r="D432">
        <v>48</v>
      </c>
    </row>
    <row r="433" spans="1:4" x14ac:dyDescent="0.25">
      <c r="A433" t="s">
        <v>950</v>
      </c>
      <c r="B433" t="s">
        <v>410</v>
      </c>
      <c r="C433" t="s">
        <v>157</v>
      </c>
      <c r="D433">
        <v>2</v>
      </c>
    </row>
    <row r="434" spans="1:4" x14ac:dyDescent="0.25">
      <c r="A434" t="s">
        <v>951</v>
      </c>
      <c r="B434" t="s">
        <v>411</v>
      </c>
      <c r="C434" t="s">
        <v>184</v>
      </c>
      <c r="D434">
        <v>9</v>
      </c>
    </row>
    <row r="435" spans="1:4" x14ac:dyDescent="0.25">
      <c r="A435" t="s">
        <v>952</v>
      </c>
      <c r="B435" t="s">
        <v>411</v>
      </c>
      <c r="C435" t="s">
        <v>140</v>
      </c>
      <c r="D435">
        <v>48</v>
      </c>
    </row>
    <row r="436" spans="1:4" x14ac:dyDescent="0.25">
      <c r="A436" t="s">
        <v>953</v>
      </c>
      <c r="B436" t="s">
        <v>412</v>
      </c>
      <c r="C436" t="s">
        <v>181</v>
      </c>
      <c r="D436">
        <v>16</v>
      </c>
    </row>
    <row r="437" spans="1:4" x14ac:dyDescent="0.25">
      <c r="A437" t="s">
        <v>954</v>
      </c>
      <c r="B437" t="s">
        <v>412</v>
      </c>
      <c r="C437" t="s">
        <v>185</v>
      </c>
      <c r="D437">
        <v>26</v>
      </c>
    </row>
    <row r="438" spans="1:4" x14ac:dyDescent="0.25">
      <c r="A438" t="s">
        <v>955</v>
      </c>
      <c r="B438" t="s">
        <v>412</v>
      </c>
      <c r="C438" t="s">
        <v>151</v>
      </c>
      <c r="D438">
        <v>47</v>
      </c>
    </row>
    <row r="439" spans="1:4" x14ac:dyDescent="0.25">
      <c r="A439" t="s">
        <v>956</v>
      </c>
      <c r="B439" t="s">
        <v>412</v>
      </c>
      <c r="C439" t="s">
        <v>178</v>
      </c>
      <c r="D439">
        <v>5</v>
      </c>
    </row>
    <row r="440" spans="1:4" x14ac:dyDescent="0.25">
      <c r="A440" t="s">
        <v>957</v>
      </c>
      <c r="B440" t="s">
        <v>412</v>
      </c>
      <c r="C440" t="s">
        <v>169</v>
      </c>
      <c r="D440">
        <v>40</v>
      </c>
    </row>
    <row r="441" spans="1:4" x14ac:dyDescent="0.25">
      <c r="A441" t="s">
        <v>958</v>
      </c>
      <c r="B441" t="s">
        <v>413</v>
      </c>
      <c r="C441" t="s">
        <v>172</v>
      </c>
      <c r="D441">
        <v>18</v>
      </c>
    </row>
    <row r="442" spans="1:4" x14ac:dyDescent="0.25">
      <c r="A442" t="s">
        <v>959</v>
      </c>
      <c r="B442" t="s">
        <v>413</v>
      </c>
      <c r="C442" t="s">
        <v>183</v>
      </c>
      <c r="D442">
        <v>46</v>
      </c>
    </row>
    <row r="443" spans="1:4" x14ac:dyDescent="0.25">
      <c r="A443" t="s">
        <v>960</v>
      </c>
      <c r="B443" t="s">
        <v>413</v>
      </c>
      <c r="C443" t="s">
        <v>141</v>
      </c>
      <c r="D443">
        <v>48</v>
      </c>
    </row>
    <row r="444" spans="1:4" x14ac:dyDescent="0.25">
      <c r="A444" t="s">
        <v>961</v>
      </c>
      <c r="B444" t="s">
        <v>413</v>
      </c>
      <c r="C444" t="s">
        <v>161</v>
      </c>
      <c r="D444">
        <v>42</v>
      </c>
    </row>
    <row r="445" spans="1:4" x14ac:dyDescent="0.25">
      <c r="A445" t="s">
        <v>962</v>
      </c>
      <c r="B445" t="s">
        <v>413</v>
      </c>
      <c r="C445" t="s">
        <v>153</v>
      </c>
      <c r="D445">
        <v>22</v>
      </c>
    </row>
    <row r="446" spans="1:4" x14ac:dyDescent="0.25">
      <c r="A446" t="s">
        <v>963</v>
      </c>
      <c r="B446" t="s">
        <v>414</v>
      </c>
      <c r="C446" t="s">
        <v>185</v>
      </c>
      <c r="D446">
        <v>1</v>
      </c>
    </row>
    <row r="447" spans="1:4" x14ac:dyDescent="0.25">
      <c r="A447" t="s">
        <v>964</v>
      </c>
      <c r="B447" t="s">
        <v>414</v>
      </c>
      <c r="C447" t="s">
        <v>184</v>
      </c>
      <c r="D447">
        <v>46</v>
      </c>
    </row>
    <row r="448" spans="1:4" x14ac:dyDescent="0.25">
      <c r="A448" t="s">
        <v>965</v>
      </c>
      <c r="B448" t="s">
        <v>414</v>
      </c>
      <c r="C448" t="s">
        <v>146</v>
      </c>
      <c r="D448">
        <v>14</v>
      </c>
    </row>
    <row r="449" spans="1:4" x14ac:dyDescent="0.25">
      <c r="A449" t="s">
        <v>966</v>
      </c>
      <c r="B449" t="s">
        <v>414</v>
      </c>
      <c r="C449" t="s">
        <v>185</v>
      </c>
      <c r="D449">
        <v>11</v>
      </c>
    </row>
    <row r="450" spans="1:4" x14ac:dyDescent="0.25">
      <c r="A450" t="s">
        <v>967</v>
      </c>
      <c r="B450" t="s">
        <v>414</v>
      </c>
      <c r="C450" t="s">
        <v>156</v>
      </c>
      <c r="D450">
        <v>49</v>
      </c>
    </row>
    <row r="451" spans="1:4" x14ac:dyDescent="0.25">
      <c r="A451" t="s">
        <v>968</v>
      </c>
      <c r="B451" t="s">
        <v>415</v>
      </c>
      <c r="C451" t="s">
        <v>185</v>
      </c>
      <c r="D451">
        <v>49</v>
      </c>
    </row>
    <row r="452" spans="1:4" x14ac:dyDescent="0.25">
      <c r="A452" t="s">
        <v>969</v>
      </c>
      <c r="B452" t="s">
        <v>416</v>
      </c>
      <c r="C452" t="s">
        <v>143</v>
      </c>
      <c r="D452">
        <v>6</v>
      </c>
    </row>
    <row r="453" spans="1:4" x14ac:dyDescent="0.25">
      <c r="A453" t="s">
        <v>970</v>
      </c>
      <c r="B453" t="s">
        <v>416</v>
      </c>
      <c r="C453" t="s">
        <v>138</v>
      </c>
      <c r="D453">
        <v>36</v>
      </c>
    </row>
    <row r="454" spans="1:4" x14ac:dyDescent="0.25">
      <c r="A454" t="s">
        <v>971</v>
      </c>
      <c r="B454" t="s">
        <v>416</v>
      </c>
      <c r="C454" t="s">
        <v>146</v>
      </c>
      <c r="D454">
        <v>48</v>
      </c>
    </row>
    <row r="455" spans="1:4" x14ac:dyDescent="0.25">
      <c r="A455" t="s">
        <v>972</v>
      </c>
      <c r="B455" t="s">
        <v>416</v>
      </c>
      <c r="C455" t="s">
        <v>146</v>
      </c>
      <c r="D455">
        <v>4</v>
      </c>
    </row>
    <row r="456" spans="1:4" x14ac:dyDescent="0.25">
      <c r="A456" t="s">
        <v>973</v>
      </c>
      <c r="B456" t="s">
        <v>416</v>
      </c>
      <c r="C456" t="s">
        <v>170</v>
      </c>
      <c r="D456">
        <v>15</v>
      </c>
    </row>
    <row r="457" spans="1:4" x14ac:dyDescent="0.25">
      <c r="A457" t="s">
        <v>974</v>
      </c>
      <c r="B457" t="s">
        <v>417</v>
      </c>
      <c r="C457" t="s">
        <v>162</v>
      </c>
      <c r="D457">
        <v>30</v>
      </c>
    </row>
    <row r="458" spans="1:4" x14ac:dyDescent="0.25">
      <c r="A458" t="s">
        <v>975</v>
      </c>
      <c r="B458" t="s">
        <v>417</v>
      </c>
      <c r="C458" t="s">
        <v>161</v>
      </c>
      <c r="D458">
        <v>40</v>
      </c>
    </row>
    <row r="459" spans="1:4" x14ac:dyDescent="0.25">
      <c r="A459" t="s">
        <v>976</v>
      </c>
      <c r="B459" t="s">
        <v>417</v>
      </c>
      <c r="C459" t="s">
        <v>171</v>
      </c>
      <c r="D459">
        <v>25</v>
      </c>
    </row>
    <row r="460" spans="1:4" x14ac:dyDescent="0.25">
      <c r="A460" t="s">
        <v>977</v>
      </c>
      <c r="B460" t="s">
        <v>417</v>
      </c>
      <c r="C460" t="s">
        <v>156</v>
      </c>
      <c r="D460">
        <v>20</v>
      </c>
    </row>
    <row r="461" spans="1:4" x14ac:dyDescent="0.25">
      <c r="A461" t="s">
        <v>978</v>
      </c>
      <c r="B461" t="s">
        <v>418</v>
      </c>
      <c r="C461" t="s">
        <v>172</v>
      </c>
      <c r="D461">
        <v>34</v>
      </c>
    </row>
    <row r="462" spans="1:4" x14ac:dyDescent="0.25">
      <c r="A462" t="s">
        <v>979</v>
      </c>
      <c r="B462" t="s">
        <v>419</v>
      </c>
      <c r="C462" t="s">
        <v>182</v>
      </c>
      <c r="D462">
        <v>47</v>
      </c>
    </row>
    <row r="463" spans="1:4" x14ac:dyDescent="0.25">
      <c r="A463" t="s">
        <v>980</v>
      </c>
      <c r="B463" t="s">
        <v>419</v>
      </c>
      <c r="C463" t="s">
        <v>177</v>
      </c>
      <c r="D463">
        <v>49</v>
      </c>
    </row>
    <row r="464" spans="1:4" x14ac:dyDescent="0.25">
      <c r="A464" t="s">
        <v>981</v>
      </c>
      <c r="B464" t="s">
        <v>420</v>
      </c>
      <c r="C464" t="s">
        <v>172</v>
      </c>
      <c r="D464">
        <v>15</v>
      </c>
    </row>
    <row r="465" spans="1:4" x14ac:dyDescent="0.25">
      <c r="A465" t="s">
        <v>982</v>
      </c>
      <c r="B465" t="s">
        <v>420</v>
      </c>
      <c r="C465" t="s">
        <v>170</v>
      </c>
      <c r="D465">
        <v>6</v>
      </c>
    </row>
    <row r="466" spans="1:4" x14ac:dyDescent="0.25">
      <c r="A466" t="s">
        <v>983</v>
      </c>
      <c r="B466" t="s">
        <v>420</v>
      </c>
      <c r="C466" t="s">
        <v>177</v>
      </c>
      <c r="D466">
        <v>29</v>
      </c>
    </row>
    <row r="467" spans="1:4" x14ac:dyDescent="0.25">
      <c r="A467" t="s">
        <v>984</v>
      </c>
      <c r="B467" t="s">
        <v>421</v>
      </c>
      <c r="C467" t="s">
        <v>172</v>
      </c>
      <c r="D467">
        <v>50</v>
      </c>
    </row>
    <row r="468" spans="1:4" x14ac:dyDescent="0.25">
      <c r="A468" t="s">
        <v>985</v>
      </c>
      <c r="B468" t="s">
        <v>421</v>
      </c>
      <c r="C468" t="s">
        <v>182</v>
      </c>
      <c r="D468">
        <v>8</v>
      </c>
    </row>
    <row r="469" spans="1:4" x14ac:dyDescent="0.25">
      <c r="A469" t="s">
        <v>986</v>
      </c>
      <c r="B469" t="s">
        <v>422</v>
      </c>
      <c r="C469" t="s">
        <v>176</v>
      </c>
      <c r="D469">
        <v>3</v>
      </c>
    </row>
    <row r="470" spans="1:4" x14ac:dyDescent="0.25">
      <c r="A470" t="s">
        <v>987</v>
      </c>
      <c r="B470" t="s">
        <v>423</v>
      </c>
      <c r="C470" t="s">
        <v>183</v>
      </c>
      <c r="D470">
        <v>26</v>
      </c>
    </row>
    <row r="471" spans="1:4" x14ac:dyDescent="0.25">
      <c r="A471" t="s">
        <v>988</v>
      </c>
      <c r="B471" t="s">
        <v>423</v>
      </c>
      <c r="C471" t="s">
        <v>153</v>
      </c>
      <c r="D471">
        <v>33</v>
      </c>
    </row>
    <row r="472" spans="1:4" x14ac:dyDescent="0.25">
      <c r="A472" t="s">
        <v>989</v>
      </c>
      <c r="B472" t="s">
        <v>424</v>
      </c>
      <c r="C472" t="s">
        <v>140</v>
      </c>
      <c r="D472">
        <v>46</v>
      </c>
    </row>
    <row r="473" spans="1:4" x14ac:dyDescent="0.25">
      <c r="A473" t="s">
        <v>990</v>
      </c>
      <c r="B473" t="s">
        <v>424</v>
      </c>
      <c r="C473" t="s">
        <v>170</v>
      </c>
      <c r="D473">
        <v>42</v>
      </c>
    </row>
    <row r="474" spans="1:4" x14ac:dyDescent="0.25">
      <c r="A474" t="s">
        <v>991</v>
      </c>
      <c r="B474" t="s">
        <v>425</v>
      </c>
      <c r="C474" t="s">
        <v>177</v>
      </c>
      <c r="D474">
        <v>23</v>
      </c>
    </row>
    <row r="475" spans="1:4" x14ac:dyDescent="0.25">
      <c r="A475" t="s">
        <v>992</v>
      </c>
      <c r="B475" t="s">
        <v>426</v>
      </c>
      <c r="C475" t="s">
        <v>163</v>
      </c>
      <c r="D475">
        <v>32</v>
      </c>
    </row>
    <row r="476" spans="1:4" x14ac:dyDescent="0.25">
      <c r="A476" t="s">
        <v>993</v>
      </c>
      <c r="B476" t="s">
        <v>427</v>
      </c>
      <c r="C476" t="s">
        <v>168</v>
      </c>
      <c r="D476">
        <v>37</v>
      </c>
    </row>
    <row r="477" spans="1:4" x14ac:dyDescent="0.25">
      <c r="A477" t="s">
        <v>994</v>
      </c>
      <c r="B477" t="s">
        <v>427</v>
      </c>
      <c r="C477" t="s">
        <v>147</v>
      </c>
      <c r="D477">
        <v>33</v>
      </c>
    </row>
    <row r="478" spans="1:4" x14ac:dyDescent="0.25">
      <c r="A478" t="s">
        <v>995</v>
      </c>
      <c r="B478" t="s">
        <v>428</v>
      </c>
      <c r="C478" t="s">
        <v>186</v>
      </c>
      <c r="D478">
        <v>39</v>
      </c>
    </row>
    <row r="479" spans="1:4" x14ac:dyDescent="0.25">
      <c r="A479" t="s">
        <v>996</v>
      </c>
      <c r="B479" t="s">
        <v>428</v>
      </c>
      <c r="C479" t="s">
        <v>175</v>
      </c>
      <c r="D479">
        <v>23</v>
      </c>
    </row>
    <row r="480" spans="1:4" x14ac:dyDescent="0.25">
      <c r="A480" t="s">
        <v>997</v>
      </c>
      <c r="B480" t="s">
        <v>428</v>
      </c>
      <c r="C480" t="s">
        <v>141</v>
      </c>
      <c r="D480">
        <v>5</v>
      </c>
    </row>
    <row r="481" spans="1:4" x14ac:dyDescent="0.25">
      <c r="A481" t="s">
        <v>998</v>
      </c>
      <c r="B481" t="s">
        <v>429</v>
      </c>
      <c r="C481" t="s">
        <v>178</v>
      </c>
      <c r="D481">
        <v>47</v>
      </c>
    </row>
    <row r="482" spans="1:4" x14ac:dyDescent="0.25">
      <c r="A482" t="s">
        <v>999</v>
      </c>
      <c r="B482" t="s">
        <v>430</v>
      </c>
      <c r="C482" t="s">
        <v>151</v>
      </c>
      <c r="D482">
        <v>30</v>
      </c>
    </row>
    <row r="483" spans="1:4" x14ac:dyDescent="0.25">
      <c r="A483" t="s">
        <v>1000</v>
      </c>
      <c r="B483" t="s">
        <v>430</v>
      </c>
      <c r="C483" t="s">
        <v>156</v>
      </c>
      <c r="D483">
        <v>19</v>
      </c>
    </row>
    <row r="484" spans="1:4" x14ac:dyDescent="0.25">
      <c r="A484" t="s">
        <v>1001</v>
      </c>
      <c r="B484" t="s">
        <v>431</v>
      </c>
      <c r="C484" t="s">
        <v>171</v>
      </c>
      <c r="D484">
        <v>6</v>
      </c>
    </row>
    <row r="485" spans="1:4" x14ac:dyDescent="0.25">
      <c r="A485" t="s">
        <v>1002</v>
      </c>
      <c r="B485" t="s">
        <v>431</v>
      </c>
      <c r="C485" t="s">
        <v>151</v>
      </c>
      <c r="D485">
        <v>28</v>
      </c>
    </row>
    <row r="486" spans="1:4" x14ac:dyDescent="0.25">
      <c r="A486" t="s">
        <v>1003</v>
      </c>
      <c r="B486" t="s">
        <v>431</v>
      </c>
      <c r="C486" t="s">
        <v>185</v>
      </c>
      <c r="D486">
        <v>24</v>
      </c>
    </row>
    <row r="487" spans="1:4" x14ac:dyDescent="0.25">
      <c r="A487" t="s">
        <v>1004</v>
      </c>
      <c r="B487" t="s">
        <v>431</v>
      </c>
      <c r="C487" t="s">
        <v>160</v>
      </c>
      <c r="D487">
        <v>10</v>
      </c>
    </row>
    <row r="488" spans="1:4" x14ac:dyDescent="0.25">
      <c r="A488" t="s">
        <v>1005</v>
      </c>
      <c r="B488" t="s">
        <v>431</v>
      </c>
      <c r="C488" t="s">
        <v>170</v>
      </c>
      <c r="D488">
        <v>50</v>
      </c>
    </row>
    <row r="489" spans="1:4" x14ac:dyDescent="0.25">
      <c r="A489" t="s">
        <v>1006</v>
      </c>
      <c r="B489" t="s">
        <v>432</v>
      </c>
      <c r="C489" t="s">
        <v>155</v>
      </c>
      <c r="D489">
        <v>47</v>
      </c>
    </row>
    <row r="490" spans="1:4" x14ac:dyDescent="0.25">
      <c r="A490" t="s">
        <v>1007</v>
      </c>
      <c r="B490" t="s">
        <v>432</v>
      </c>
      <c r="C490" t="s">
        <v>163</v>
      </c>
      <c r="D490">
        <v>15</v>
      </c>
    </row>
    <row r="491" spans="1:4" x14ac:dyDescent="0.25">
      <c r="A491" t="s">
        <v>1008</v>
      </c>
      <c r="B491" t="s">
        <v>432</v>
      </c>
      <c r="C491" t="s">
        <v>169</v>
      </c>
      <c r="D491">
        <v>25</v>
      </c>
    </row>
    <row r="492" spans="1:4" x14ac:dyDescent="0.25">
      <c r="A492" t="s">
        <v>1009</v>
      </c>
      <c r="B492" t="s">
        <v>432</v>
      </c>
      <c r="C492" t="s">
        <v>183</v>
      </c>
      <c r="D492">
        <v>36</v>
      </c>
    </row>
    <row r="493" spans="1:4" x14ac:dyDescent="0.25">
      <c r="A493" t="s">
        <v>1010</v>
      </c>
      <c r="B493" t="s">
        <v>432</v>
      </c>
      <c r="C493" t="s">
        <v>161</v>
      </c>
      <c r="D493">
        <v>49</v>
      </c>
    </row>
    <row r="494" spans="1:4" x14ac:dyDescent="0.25">
      <c r="A494" t="s">
        <v>1011</v>
      </c>
      <c r="B494" t="s">
        <v>433</v>
      </c>
      <c r="C494" t="s">
        <v>152</v>
      </c>
      <c r="D494">
        <v>10</v>
      </c>
    </row>
    <row r="495" spans="1:4" x14ac:dyDescent="0.25">
      <c r="A495" t="s">
        <v>1012</v>
      </c>
      <c r="B495" t="s">
        <v>434</v>
      </c>
      <c r="C495" t="s">
        <v>134</v>
      </c>
      <c r="D495">
        <v>7</v>
      </c>
    </row>
    <row r="496" spans="1:4" x14ac:dyDescent="0.25">
      <c r="A496" t="s">
        <v>1013</v>
      </c>
      <c r="B496" t="s">
        <v>434</v>
      </c>
      <c r="C496" t="s">
        <v>173</v>
      </c>
      <c r="D496">
        <v>15</v>
      </c>
    </row>
    <row r="497" spans="1:4" x14ac:dyDescent="0.25">
      <c r="A497" t="s">
        <v>1014</v>
      </c>
      <c r="B497" t="s">
        <v>434</v>
      </c>
      <c r="C497" t="s">
        <v>153</v>
      </c>
      <c r="D497">
        <v>31</v>
      </c>
    </row>
    <row r="498" spans="1:4" x14ac:dyDescent="0.25">
      <c r="A498" t="s">
        <v>1015</v>
      </c>
      <c r="B498" t="s">
        <v>434</v>
      </c>
      <c r="C498" t="s">
        <v>163</v>
      </c>
      <c r="D498">
        <v>28</v>
      </c>
    </row>
    <row r="499" spans="1:4" x14ac:dyDescent="0.25">
      <c r="A499" t="s">
        <v>1016</v>
      </c>
      <c r="B499" t="s">
        <v>434</v>
      </c>
      <c r="C499" t="s">
        <v>153</v>
      </c>
      <c r="D499">
        <v>37</v>
      </c>
    </row>
    <row r="500" spans="1:4" x14ac:dyDescent="0.25">
      <c r="A500" t="s">
        <v>1017</v>
      </c>
      <c r="B500" t="s">
        <v>435</v>
      </c>
      <c r="C500" t="s">
        <v>163</v>
      </c>
      <c r="D500">
        <v>46</v>
      </c>
    </row>
    <row r="501" spans="1:4" x14ac:dyDescent="0.25">
      <c r="A501" t="s">
        <v>1018</v>
      </c>
      <c r="B501" t="s">
        <v>436</v>
      </c>
      <c r="C501" t="s">
        <v>154</v>
      </c>
      <c r="D501">
        <v>35</v>
      </c>
    </row>
    <row r="502" spans="1:4" x14ac:dyDescent="0.25">
      <c r="A502" t="s">
        <v>1019</v>
      </c>
      <c r="B502" t="s">
        <v>437</v>
      </c>
      <c r="C502" t="s">
        <v>172</v>
      </c>
      <c r="D502">
        <v>34</v>
      </c>
    </row>
    <row r="503" spans="1:4" x14ac:dyDescent="0.25">
      <c r="A503" t="s">
        <v>1020</v>
      </c>
      <c r="B503" t="s">
        <v>437</v>
      </c>
      <c r="C503" t="s">
        <v>144</v>
      </c>
      <c r="D503">
        <v>30</v>
      </c>
    </row>
    <row r="504" spans="1:4" x14ac:dyDescent="0.25">
      <c r="A504" t="s">
        <v>1021</v>
      </c>
      <c r="B504" t="s">
        <v>437</v>
      </c>
      <c r="C504" t="s">
        <v>184</v>
      </c>
      <c r="D504">
        <v>21</v>
      </c>
    </row>
    <row r="505" spans="1:4" x14ac:dyDescent="0.25">
      <c r="A505" t="s">
        <v>1022</v>
      </c>
      <c r="B505" t="s">
        <v>438</v>
      </c>
      <c r="C505" t="s">
        <v>177</v>
      </c>
      <c r="D505">
        <v>22</v>
      </c>
    </row>
    <row r="506" spans="1:4" x14ac:dyDescent="0.25">
      <c r="A506" t="s">
        <v>1023</v>
      </c>
      <c r="B506" t="s">
        <v>438</v>
      </c>
      <c r="C506" t="s">
        <v>180</v>
      </c>
      <c r="D506">
        <v>7</v>
      </c>
    </row>
    <row r="507" spans="1:4" x14ac:dyDescent="0.25">
      <c r="A507" t="s">
        <v>1024</v>
      </c>
      <c r="B507" t="s">
        <v>439</v>
      </c>
      <c r="C507" t="s">
        <v>157</v>
      </c>
      <c r="D507">
        <v>5</v>
      </c>
    </row>
    <row r="508" spans="1:4" x14ac:dyDescent="0.25">
      <c r="A508" t="s">
        <v>1025</v>
      </c>
      <c r="B508" t="s">
        <v>440</v>
      </c>
      <c r="C508" t="s">
        <v>142</v>
      </c>
      <c r="D508">
        <v>44</v>
      </c>
    </row>
    <row r="509" spans="1:4" x14ac:dyDescent="0.25">
      <c r="A509" t="s">
        <v>1026</v>
      </c>
      <c r="B509" t="s">
        <v>441</v>
      </c>
      <c r="C509" t="s">
        <v>143</v>
      </c>
      <c r="D509">
        <v>27</v>
      </c>
    </row>
    <row r="510" spans="1:4" x14ac:dyDescent="0.25">
      <c r="A510" t="s">
        <v>1027</v>
      </c>
      <c r="B510" t="s">
        <v>441</v>
      </c>
      <c r="C510" t="s">
        <v>154</v>
      </c>
      <c r="D510">
        <v>30</v>
      </c>
    </row>
    <row r="511" spans="1:4" x14ac:dyDescent="0.25">
      <c r="A511" t="s">
        <v>1028</v>
      </c>
      <c r="B511" t="s">
        <v>441</v>
      </c>
      <c r="C511" t="s">
        <v>176</v>
      </c>
      <c r="D511">
        <v>10</v>
      </c>
    </row>
    <row r="512" spans="1:4" x14ac:dyDescent="0.25">
      <c r="A512" t="s">
        <v>1029</v>
      </c>
      <c r="B512" t="s">
        <v>442</v>
      </c>
      <c r="C512" t="s">
        <v>169</v>
      </c>
      <c r="D512">
        <v>30</v>
      </c>
    </row>
    <row r="513" spans="1:4" x14ac:dyDescent="0.25">
      <c r="A513" t="s">
        <v>1030</v>
      </c>
      <c r="B513" t="s">
        <v>442</v>
      </c>
      <c r="C513" t="s">
        <v>140</v>
      </c>
      <c r="D513">
        <v>33</v>
      </c>
    </row>
    <row r="514" spans="1:4" x14ac:dyDescent="0.25">
      <c r="A514" t="s">
        <v>1031</v>
      </c>
      <c r="B514" t="s">
        <v>442</v>
      </c>
      <c r="C514" t="s">
        <v>134</v>
      </c>
      <c r="D514">
        <v>44</v>
      </c>
    </row>
    <row r="515" spans="1:4" x14ac:dyDescent="0.25">
      <c r="A515" t="s">
        <v>1032</v>
      </c>
      <c r="B515" t="s">
        <v>442</v>
      </c>
      <c r="C515" t="s">
        <v>144</v>
      </c>
      <c r="D515">
        <v>37</v>
      </c>
    </row>
    <row r="516" spans="1:4" x14ac:dyDescent="0.25">
      <c r="A516" t="s">
        <v>1033</v>
      </c>
      <c r="B516" t="s">
        <v>442</v>
      </c>
      <c r="C516" t="s">
        <v>176</v>
      </c>
      <c r="D516">
        <v>45</v>
      </c>
    </row>
    <row r="517" spans="1:4" x14ac:dyDescent="0.25">
      <c r="A517" t="s">
        <v>1034</v>
      </c>
      <c r="B517" t="s">
        <v>443</v>
      </c>
      <c r="C517" t="s">
        <v>160</v>
      </c>
      <c r="D517">
        <v>30</v>
      </c>
    </row>
    <row r="518" spans="1:4" x14ac:dyDescent="0.25">
      <c r="A518" t="s">
        <v>1035</v>
      </c>
      <c r="B518" t="s">
        <v>443</v>
      </c>
      <c r="C518" t="s">
        <v>156</v>
      </c>
      <c r="D518">
        <v>50</v>
      </c>
    </row>
    <row r="519" spans="1:4" x14ac:dyDescent="0.25">
      <c r="A519" t="s">
        <v>1036</v>
      </c>
      <c r="B519" t="s">
        <v>443</v>
      </c>
      <c r="C519" t="s">
        <v>141</v>
      </c>
      <c r="D519">
        <v>33</v>
      </c>
    </row>
    <row r="520" spans="1:4" x14ac:dyDescent="0.25">
      <c r="A520" t="s">
        <v>1037</v>
      </c>
      <c r="B520" t="s">
        <v>443</v>
      </c>
      <c r="C520" t="s">
        <v>160</v>
      </c>
      <c r="D520">
        <v>47</v>
      </c>
    </row>
    <row r="521" spans="1:4" x14ac:dyDescent="0.25">
      <c r="A521" t="s">
        <v>1038</v>
      </c>
      <c r="B521" t="s">
        <v>444</v>
      </c>
      <c r="C521" t="s">
        <v>175</v>
      </c>
      <c r="D521">
        <v>4</v>
      </c>
    </row>
    <row r="522" spans="1:4" x14ac:dyDescent="0.25">
      <c r="A522" t="s">
        <v>1039</v>
      </c>
      <c r="B522" t="s">
        <v>444</v>
      </c>
      <c r="C522" t="s">
        <v>157</v>
      </c>
      <c r="D522">
        <v>38</v>
      </c>
    </row>
    <row r="523" spans="1:4" x14ac:dyDescent="0.25">
      <c r="A523" t="s">
        <v>1040</v>
      </c>
      <c r="B523" t="s">
        <v>444</v>
      </c>
      <c r="C523" t="s">
        <v>163</v>
      </c>
      <c r="D523">
        <v>17</v>
      </c>
    </row>
    <row r="524" spans="1:4" x14ac:dyDescent="0.25">
      <c r="A524" t="s">
        <v>1041</v>
      </c>
      <c r="B524" t="s">
        <v>444</v>
      </c>
      <c r="C524" t="s">
        <v>183</v>
      </c>
      <c r="D524">
        <v>25</v>
      </c>
    </row>
    <row r="525" spans="1:4" x14ac:dyDescent="0.25">
      <c r="A525" t="s">
        <v>1042</v>
      </c>
      <c r="B525" t="s">
        <v>445</v>
      </c>
      <c r="C525" t="s">
        <v>162</v>
      </c>
      <c r="D525">
        <v>32</v>
      </c>
    </row>
    <row r="526" spans="1:4" x14ac:dyDescent="0.25">
      <c r="A526" t="s">
        <v>1043</v>
      </c>
      <c r="B526" t="s">
        <v>445</v>
      </c>
      <c r="C526" t="s">
        <v>140</v>
      </c>
      <c r="D526">
        <v>37</v>
      </c>
    </row>
    <row r="527" spans="1:4" x14ac:dyDescent="0.25">
      <c r="A527" t="s">
        <v>1044</v>
      </c>
      <c r="B527" t="s">
        <v>445</v>
      </c>
      <c r="C527" t="s">
        <v>134</v>
      </c>
      <c r="D527">
        <v>15</v>
      </c>
    </row>
    <row r="528" spans="1:4" x14ac:dyDescent="0.25">
      <c r="A528" t="s">
        <v>1045</v>
      </c>
      <c r="B528" t="s">
        <v>445</v>
      </c>
      <c r="C528" t="s">
        <v>168</v>
      </c>
      <c r="D528">
        <v>42</v>
      </c>
    </row>
    <row r="529" spans="1:4" x14ac:dyDescent="0.25">
      <c r="A529" t="s">
        <v>1046</v>
      </c>
      <c r="B529" t="s">
        <v>445</v>
      </c>
      <c r="C529" t="s">
        <v>155</v>
      </c>
      <c r="D529">
        <v>44</v>
      </c>
    </row>
    <row r="530" spans="1:4" x14ac:dyDescent="0.25">
      <c r="A530" t="s">
        <v>1047</v>
      </c>
      <c r="B530" t="s">
        <v>446</v>
      </c>
      <c r="C530" t="s">
        <v>153</v>
      </c>
      <c r="D530">
        <v>6</v>
      </c>
    </row>
    <row r="531" spans="1:4" x14ac:dyDescent="0.25">
      <c r="A531" t="s">
        <v>1048</v>
      </c>
      <c r="B531" t="s">
        <v>447</v>
      </c>
      <c r="C531" t="s">
        <v>164</v>
      </c>
      <c r="D531">
        <v>14</v>
      </c>
    </row>
    <row r="532" spans="1:4" x14ac:dyDescent="0.25">
      <c r="A532" t="s">
        <v>1049</v>
      </c>
      <c r="B532" t="s">
        <v>447</v>
      </c>
      <c r="C532" t="s">
        <v>170</v>
      </c>
      <c r="D532">
        <v>47</v>
      </c>
    </row>
    <row r="533" spans="1:4" x14ac:dyDescent="0.25">
      <c r="A533" t="s">
        <v>1050</v>
      </c>
      <c r="B533" t="s">
        <v>448</v>
      </c>
      <c r="C533" t="s">
        <v>177</v>
      </c>
      <c r="D533">
        <v>3</v>
      </c>
    </row>
    <row r="534" spans="1:4" x14ac:dyDescent="0.25">
      <c r="A534" t="s">
        <v>1051</v>
      </c>
      <c r="B534" t="s">
        <v>448</v>
      </c>
      <c r="C534" t="s">
        <v>162</v>
      </c>
      <c r="D534">
        <v>38</v>
      </c>
    </row>
    <row r="535" spans="1:4" x14ac:dyDescent="0.25">
      <c r="A535" t="s">
        <v>1052</v>
      </c>
      <c r="B535" t="s">
        <v>448</v>
      </c>
      <c r="C535" t="s">
        <v>180</v>
      </c>
      <c r="D535">
        <v>44</v>
      </c>
    </row>
    <row r="536" spans="1:4" x14ac:dyDescent="0.25">
      <c r="A536" t="s">
        <v>1053</v>
      </c>
      <c r="B536" t="s">
        <v>448</v>
      </c>
      <c r="C536" t="s">
        <v>182</v>
      </c>
      <c r="D536">
        <v>14</v>
      </c>
    </row>
    <row r="537" spans="1:4" x14ac:dyDescent="0.25">
      <c r="A537" t="s">
        <v>1054</v>
      </c>
      <c r="B537" t="s">
        <v>449</v>
      </c>
      <c r="C537" t="s">
        <v>170</v>
      </c>
      <c r="D537">
        <v>38</v>
      </c>
    </row>
    <row r="538" spans="1:4" x14ac:dyDescent="0.25">
      <c r="A538" t="s">
        <v>1055</v>
      </c>
      <c r="B538" t="s">
        <v>449</v>
      </c>
      <c r="C538" t="s">
        <v>144</v>
      </c>
      <c r="D538">
        <v>42</v>
      </c>
    </row>
    <row r="539" spans="1:4" x14ac:dyDescent="0.25">
      <c r="A539" t="s">
        <v>1056</v>
      </c>
      <c r="B539" t="s">
        <v>449</v>
      </c>
      <c r="C539" t="s">
        <v>173</v>
      </c>
      <c r="D539">
        <v>23</v>
      </c>
    </row>
    <row r="540" spans="1:4" x14ac:dyDescent="0.25">
      <c r="A540" t="s">
        <v>1057</v>
      </c>
      <c r="B540" t="s">
        <v>450</v>
      </c>
      <c r="C540" t="s">
        <v>169</v>
      </c>
      <c r="D540">
        <v>8</v>
      </c>
    </row>
    <row r="541" spans="1:4" x14ac:dyDescent="0.25">
      <c r="A541" t="s">
        <v>1058</v>
      </c>
      <c r="B541" t="s">
        <v>451</v>
      </c>
      <c r="C541" t="s">
        <v>153</v>
      </c>
      <c r="D541">
        <v>37</v>
      </c>
    </row>
    <row r="542" spans="1:4" x14ac:dyDescent="0.25">
      <c r="A542" t="s">
        <v>1059</v>
      </c>
      <c r="B542" t="s">
        <v>451</v>
      </c>
      <c r="C542" t="s">
        <v>160</v>
      </c>
      <c r="D542">
        <v>37</v>
      </c>
    </row>
    <row r="543" spans="1:4" x14ac:dyDescent="0.25">
      <c r="A543" t="s">
        <v>1060</v>
      </c>
      <c r="B543" t="s">
        <v>451</v>
      </c>
      <c r="C543" t="s">
        <v>154</v>
      </c>
      <c r="D543">
        <v>40</v>
      </c>
    </row>
    <row r="544" spans="1:4" x14ac:dyDescent="0.25">
      <c r="A544" t="s">
        <v>1061</v>
      </c>
      <c r="B544" t="s">
        <v>451</v>
      </c>
      <c r="C544" t="s">
        <v>143</v>
      </c>
      <c r="D544">
        <v>33</v>
      </c>
    </row>
    <row r="545" spans="1:4" x14ac:dyDescent="0.25">
      <c r="A545" t="s">
        <v>1062</v>
      </c>
      <c r="B545" t="s">
        <v>452</v>
      </c>
      <c r="C545" t="s">
        <v>163</v>
      </c>
      <c r="D545">
        <v>17</v>
      </c>
    </row>
    <row r="546" spans="1:4" x14ac:dyDescent="0.25">
      <c r="A546" t="s">
        <v>1063</v>
      </c>
      <c r="B546" t="s">
        <v>452</v>
      </c>
      <c r="C546" t="s">
        <v>142</v>
      </c>
      <c r="D546">
        <v>19</v>
      </c>
    </row>
    <row r="547" spans="1:4" x14ac:dyDescent="0.25">
      <c r="A547" t="s">
        <v>1064</v>
      </c>
      <c r="B547" t="s">
        <v>452</v>
      </c>
      <c r="C547" t="s">
        <v>176</v>
      </c>
      <c r="D547">
        <v>20</v>
      </c>
    </row>
    <row r="548" spans="1:4" x14ac:dyDescent="0.25">
      <c r="A548" t="s">
        <v>1065</v>
      </c>
      <c r="B548" t="s">
        <v>453</v>
      </c>
      <c r="C548" t="s">
        <v>184</v>
      </c>
      <c r="D548">
        <v>8</v>
      </c>
    </row>
    <row r="549" spans="1:4" x14ac:dyDescent="0.25">
      <c r="A549" t="s">
        <v>1066</v>
      </c>
      <c r="B549" t="s">
        <v>453</v>
      </c>
      <c r="C549" t="s">
        <v>170</v>
      </c>
      <c r="D549">
        <v>4</v>
      </c>
    </row>
    <row r="550" spans="1:4" x14ac:dyDescent="0.25">
      <c r="A550" t="s">
        <v>1067</v>
      </c>
      <c r="B550" t="s">
        <v>453</v>
      </c>
      <c r="C550" t="s">
        <v>184</v>
      </c>
      <c r="D550">
        <v>40</v>
      </c>
    </row>
    <row r="551" spans="1:4" x14ac:dyDescent="0.25">
      <c r="A551" t="s">
        <v>1068</v>
      </c>
      <c r="B551" t="s">
        <v>453</v>
      </c>
      <c r="C551" t="s">
        <v>154</v>
      </c>
      <c r="D551">
        <v>40</v>
      </c>
    </row>
    <row r="552" spans="1:4" x14ac:dyDescent="0.25">
      <c r="A552" t="s">
        <v>1069</v>
      </c>
      <c r="B552" t="s">
        <v>453</v>
      </c>
      <c r="C552" t="s">
        <v>172</v>
      </c>
      <c r="D552">
        <v>7</v>
      </c>
    </row>
    <row r="553" spans="1:4" x14ac:dyDescent="0.25">
      <c r="A553" t="s">
        <v>1070</v>
      </c>
      <c r="B553" t="s">
        <v>454</v>
      </c>
      <c r="C553" t="s">
        <v>182</v>
      </c>
      <c r="D553">
        <v>29</v>
      </c>
    </row>
    <row r="554" spans="1:4" x14ac:dyDescent="0.25">
      <c r="A554" t="s">
        <v>1071</v>
      </c>
      <c r="B554" t="s">
        <v>454</v>
      </c>
      <c r="C554" t="s">
        <v>172</v>
      </c>
      <c r="D554">
        <v>50</v>
      </c>
    </row>
    <row r="555" spans="1:4" x14ac:dyDescent="0.25">
      <c r="A555" t="s">
        <v>1072</v>
      </c>
      <c r="B555" t="s">
        <v>454</v>
      </c>
      <c r="C555" t="s">
        <v>181</v>
      </c>
      <c r="D555">
        <v>41</v>
      </c>
    </row>
    <row r="556" spans="1:4" x14ac:dyDescent="0.25">
      <c r="A556" t="s">
        <v>1073</v>
      </c>
      <c r="B556" t="s">
        <v>454</v>
      </c>
      <c r="C556" t="s">
        <v>155</v>
      </c>
      <c r="D556">
        <v>10</v>
      </c>
    </row>
    <row r="557" spans="1:4" x14ac:dyDescent="0.25">
      <c r="A557" t="s">
        <v>1074</v>
      </c>
      <c r="B557" t="s">
        <v>454</v>
      </c>
      <c r="C557" t="s">
        <v>140</v>
      </c>
      <c r="D557">
        <v>35</v>
      </c>
    </row>
    <row r="558" spans="1:4" x14ac:dyDescent="0.25">
      <c r="A558" t="s">
        <v>1075</v>
      </c>
      <c r="B558" t="s">
        <v>455</v>
      </c>
      <c r="C558" t="s">
        <v>172</v>
      </c>
      <c r="D558">
        <v>37</v>
      </c>
    </row>
    <row r="559" spans="1:4" x14ac:dyDescent="0.25">
      <c r="A559" t="s">
        <v>1076</v>
      </c>
      <c r="B559" t="s">
        <v>455</v>
      </c>
      <c r="C559" t="s">
        <v>152</v>
      </c>
      <c r="D559">
        <v>3</v>
      </c>
    </row>
    <row r="560" spans="1:4" x14ac:dyDescent="0.25">
      <c r="A560" t="s">
        <v>1077</v>
      </c>
      <c r="B560" t="s">
        <v>455</v>
      </c>
      <c r="C560" t="s">
        <v>162</v>
      </c>
      <c r="D560">
        <v>15</v>
      </c>
    </row>
    <row r="561" spans="1:4" x14ac:dyDescent="0.25">
      <c r="A561" t="s">
        <v>1078</v>
      </c>
      <c r="B561" t="s">
        <v>455</v>
      </c>
      <c r="C561" t="s">
        <v>163</v>
      </c>
      <c r="D561">
        <v>23</v>
      </c>
    </row>
    <row r="562" spans="1:4" x14ac:dyDescent="0.25">
      <c r="A562" t="s">
        <v>1079</v>
      </c>
      <c r="B562" t="s">
        <v>456</v>
      </c>
      <c r="C562" t="s">
        <v>160</v>
      </c>
      <c r="D562">
        <v>3</v>
      </c>
    </row>
    <row r="563" spans="1:4" x14ac:dyDescent="0.25">
      <c r="A563" t="s">
        <v>1080</v>
      </c>
      <c r="B563" t="s">
        <v>456</v>
      </c>
      <c r="C563" t="s">
        <v>154</v>
      </c>
      <c r="D563">
        <v>6</v>
      </c>
    </row>
    <row r="564" spans="1:4" x14ac:dyDescent="0.25">
      <c r="A564" t="s">
        <v>1081</v>
      </c>
      <c r="B564" t="s">
        <v>457</v>
      </c>
      <c r="C564" t="s">
        <v>146</v>
      </c>
      <c r="D564">
        <v>29</v>
      </c>
    </row>
    <row r="565" spans="1:4" x14ac:dyDescent="0.25">
      <c r="A565" t="s">
        <v>1082</v>
      </c>
      <c r="B565" t="s">
        <v>457</v>
      </c>
      <c r="C565" t="s">
        <v>140</v>
      </c>
      <c r="D565">
        <v>49</v>
      </c>
    </row>
    <row r="566" spans="1:4" x14ac:dyDescent="0.25">
      <c r="A566" t="s">
        <v>1083</v>
      </c>
      <c r="B566" t="s">
        <v>457</v>
      </c>
      <c r="C566" t="s">
        <v>151</v>
      </c>
      <c r="D566">
        <v>10</v>
      </c>
    </row>
    <row r="567" spans="1:4" x14ac:dyDescent="0.25">
      <c r="A567" t="s">
        <v>1084</v>
      </c>
      <c r="B567" t="s">
        <v>458</v>
      </c>
      <c r="C567" t="s">
        <v>175</v>
      </c>
      <c r="D567">
        <v>23</v>
      </c>
    </row>
    <row r="568" spans="1:4" x14ac:dyDescent="0.25">
      <c r="A568" t="s">
        <v>1085</v>
      </c>
      <c r="B568" t="s">
        <v>458</v>
      </c>
      <c r="C568" t="s">
        <v>146</v>
      </c>
      <c r="D568">
        <v>45</v>
      </c>
    </row>
    <row r="569" spans="1:4" x14ac:dyDescent="0.25">
      <c r="A569" t="s">
        <v>1086</v>
      </c>
      <c r="B569" t="s">
        <v>458</v>
      </c>
      <c r="C569" t="s">
        <v>161</v>
      </c>
      <c r="D569">
        <v>36</v>
      </c>
    </row>
    <row r="570" spans="1:4" x14ac:dyDescent="0.25">
      <c r="A570" t="s">
        <v>1087</v>
      </c>
      <c r="B570" t="s">
        <v>458</v>
      </c>
      <c r="C570" t="s">
        <v>163</v>
      </c>
      <c r="D570">
        <v>8</v>
      </c>
    </row>
    <row r="571" spans="1:4" x14ac:dyDescent="0.25">
      <c r="A571" t="s">
        <v>1088</v>
      </c>
      <c r="B571" t="s">
        <v>458</v>
      </c>
      <c r="C571" t="s">
        <v>156</v>
      </c>
      <c r="D571">
        <v>10</v>
      </c>
    </row>
    <row r="572" spans="1:4" x14ac:dyDescent="0.25">
      <c r="A572" t="s">
        <v>1089</v>
      </c>
      <c r="B572" t="s">
        <v>459</v>
      </c>
      <c r="C572" t="s">
        <v>182</v>
      </c>
      <c r="D572">
        <v>6</v>
      </c>
    </row>
    <row r="573" spans="1:4" x14ac:dyDescent="0.25">
      <c r="A573" t="s">
        <v>1090</v>
      </c>
      <c r="B573" t="s">
        <v>459</v>
      </c>
      <c r="C573" t="s">
        <v>142</v>
      </c>
      <c r="D573">
        <v>6</v>
      </c>
    </row>
    <row r="574" spans="1:4" x14ac:dyDescent="0.25">
      <c r="A574" t="s">
        <v>1091</v>
      </c>
      <c r="B574" t="s">
        <v>460</v>
      </c>
      <c r="C574" t="s">
        <v>163</v>
      </c>
      <c r="D574">
        <v>6</v>
      </c>
    </row>
    <row r="575" spans="1:4" x14ac:dyDescent="0.25">
      <c r="A575" t="s">
        <v>1092</v>
      </c>
      <c r="B575" t="s">
        <v>460</v>
      </c>
      <c r="C575" t="s">
        <v>140</v>
      </c>
      <c r="D575">
        <v>44</v>
      </c>
    </row>
    <row r="576" spans="1:4" x14ac:dyDescent="0.25">
      <c r="A576" t="s">
        <v>1093</v>
      </c>
      <c r="B576" t="s">
        <v>460</v>
      </c>
      <c r="C576" t="s">
        <v>164</v>
      </c>
      <c r="D576">
        <v>4</v>
      </c>
    </row>
    <row r="577" spans="1:4" x14ac:dyDescent="0.25">
      <c r="A577" t="s">
        <v>1094</v>
      </c>
      <c r="B577" t="s">
        <v>460</v>
      </c>
      <c r="C577" t="s">
        <v>176</v>
      </c>
      <c r="D577">
        <v>44</v>
      </c>
    </row>
    <row r="578" spans="1:4" x14ac:dyDescent="0.25">
      <c r="A578" t="s">
        <v>1095</v>
      </c>
      <c r="B578" t="s">
        <v>460</v>
      </c>
      <c r="C578" t="s">
        <v>168</v>
      </c>
      <c r="D578">
        <v>47</v>
      </c>
    </row>
    <row r="579" spans="1:4" x14ac:dyDescent="0.25">
      <c r="A579" t="s">
        <v>1096</v>
      </c>
      <c r="B579" t="s">
        <v>461</v>
      </c>
      <c r="C579" t="s">
        <v>151</v>
      </c>
      <c r="D579">
        <v>1</v>
      </c>
    </row>
    <row r="580" spans="1:4" x14ac:dyDescent="0.25">
      <c r="A580" t="s">
        <v>1097</v>
      </c>
      <c r="B580" t="s">
        <v>461</v>
      </c>
      <c r="C580" t="s">
        <v>147</v>
      </c>
      <c r="D580">
        <v>18</v>
      </c>
    </row>
    <row r="581" spans="1:4" x14ac:dyDescent="0.25">
      <c r="A581" t="s">
        <v>1098</v>
      </c>
      <c r="B581" t="s">
        <v>462</v>
      </c>
      <c r="C581" t="s">
        <v>178</v>
      </c>
      <c r="D581">
        <v>41</v>
      </c>
    </row>
    <row r="582" spans="1:4" x14ac:dyDescent="0.25">
      <c r="A582" t="s">
        <v>1099</v>
      </c>
      <c r="B582" t="s">
        <v>462</v>
      </c>
      <c r="C582" t="s">
        <v>142</v>
      </c>
      <c r="D582">
        <v>48</v>
      </c>
    </row>
    <row r="583" spans="1:4" x14ac:dyDescent="0.25">
      <c r="A583" t="s">
        <v>1100</v>
      </c>
      <c r="B583" t="s">
        <v>462</v>
      </c>
      <c r="C583" t="s">
        <v>150</v>
      </c>
      <c r="D583">
        <v>3</v>
      </c>
    </row>
    <row r="584" spans="1:4" x14ac:dyDescent="0.25">
      <c r="A584" t="s">
        <v>1101</v>
      </c>
      <c r="B584" t="s">
        <v>462</v>
      </c>
      <c r="C584" t="s">
        <v>175</v>
      </c>
      <c r="D584">
        <v>4</v>
      </c>
    </row>
    <row r="585" spans="1:4" x14ac:dyDescent="0.25">
      <c r="A585" t="s">
        <v>1102</v>
      </c>
      <c r="B585" t="s">
        <v>463</v>
      </c>
      <c r="C585" t="s">
        <v>178</v>
      </c>
      <c r="D585">
        <v>37</v>
      </c>
    </row>
    <row r="586" spans="1:4" x14ac:dyDescent="0.25">
      <c r="A586" t="s">
        <v>1103</v>
      </c>
      <c r="B586" t="s">
        <v>463</v>
      </c>
      <c r="C586" t="s">
        <v>142</v>
      </c>
      <c r="D586">
        <v>36</v>
      </c>
    </row>
    <row r="587" spans="1:4" x14ac:dyDescent="0.25">
      <c r="A587" t="s">
        <v>1104</v>
      </c>
      <c r="B587" t="s">
        <v>463</v>
      </c>
      <c r="C587" t="s">
        <v>138</v>
      </c>
      <c r="D587">
        <v>15</v>
      </c>
    </row>
    <row r="588" spans="1:4" x14ac:dyDescent="0.25">
      <c r="A588" t="s">
        <v>1105</v>
      </c>
      <c r="B588" t="s">
        <v>463</v>
      </c>
      <c r="C588" t="s">
        <v>168</v>
      </c>
      <c r="D588">
        <v>31</v>
      </c>
    </row>
    <row r="589" spans="1:4" x14ac:dyDescent="0.25">
      <c r="A589" t="s">
        <v>1106</v>
      </c>
      <c r="B589" t="s">
        <v>464</v>
      </c>
      <c r="C589" t="s">
        <v>152</v>
      </c>
      <c r="D589">
        <v>23</v>
      </c>
    </row>
    <row r="590" spans="1:4" x14ac:dyDescent="0.25">
      <c r="A590" t="s">
        <v>1107</v>
      </c>
      <c r="B590" t="s">
        <v>464</v>
      </c>
      <c r="C590" t="s">
        <v>160</v>
      </c>
      <c r="D590">
        <v>17</v>
      </c>
    </row>
    <row r="591" spans="1:4" x14ac:dyDescent="0.25">
      <c r="A591" t="s">
        <v>1108</v>
      </c>
      <c r="B591" t="s">
        <v>464</v>
      </c>
      <c r="C591" t="s">
        <v>175</v>
      </c>
      <c r="D591">
        <v>21</v>
      </c>
    </row>
    <row r="592" spans="1:4" x14ac:dyDescent="0.25">
      <c r="A592" t="s">
        <v>1109</v>
      </c>
      <c r="B592" t="s">
        <v>464</v>
      </c>
      <c r="C592" t="s">
        <v>156</v>
      </c>
      <c r="D592">
        <v>45</v>
      </c>
    </row>
    <row r="593" spans="1:4" x14ac:dyDescent="0.25">
      <c r="A593" t="s">
        <v>1110</v>
      </c>
      <c r="B593" t="s">
        <v>464</v>
      </c>
      <c r="C593" t="s">
        <v>156</v>
      </c>
      <c r="D593">
        <v>26</v>
      </c>
    </row>
    <row r="594" spans="1:4" x14ac:dyDescent="0.25">
      <c r="A594" t="s">
        <v>1111</v>
      </c>
      <c r="B594" t="s">
        <v>465</v>
      </c>
      <c r="C594" t="s">
        <v>153</v>
      </c>
      <c r="D594">
        <v>35</v>
      </c>
    </row>
    <row r="595" spans="1:4" x14ac:dyDescent="0.25">
      <c r="A595" t="s">
        <v>1112</v>
      </c>
      <c r="B595" t="s">
        <v>466</v>
      </c>
      <c r="C595" t="s">
        <v>154</v>
      </c>
      <c r="D595">
        <v>7</v>
      </c>
    </row>
    <row r="596" spans="1:4" x14ac:dyDescent="0.25">
      <c r="A596" t="s">
        <v>1113</v>
      </c>
      <c r="B596" t="s">
        <v>466</v>
      </c>
      <c r="C596" t="s">
        <v>185</v>
      </c>
      <c r="D596">
        <v>18</v>
      </c>
    </row>
    <row r="597" spans="1:4" x14ac:dyDescent="0.25">
      <c r="A597" t="s">
        <v>1114</v>
      </c>
      <c r="B597" t="s">
        <v>466</v>
      </c>
      <c r="C597" t="s">
        <v>160</v>
      </c>
      <c r="D597">
        <v>3</v>
      </c>
    </row>
    <row r="598" spans="1:4" x14ac:dyDescent="0.25">
      <c r="A598" t="s">
        <v>1115</v>
      </c>
      <c r="B598" t="s">
        <v>467</v>
      </c>
      <c r="C598" t="s">
        <v>186</v>
      </c>
      <c r="D598">
        <v>42</v>
      </c>
    </row>
    <row r="599" spans="1:4" x14ac:dyDescent="0.25">
      <c r="A599" t="s">
        <v>1116</v>
      </c>
      <c r="B599" t="s">
        <v>467</v>
      </c>
      <c r="C599" t="s">
        <v>152</v>
      </c>
      <c r="D599">
        <v>32</v>
      </c>
    </row>
    <row r="600" spans="1:4" x14ac:dyDescent="0.25">
      <c r="A600" t="s">
        <v>1117</v>
      </c>
      <c r="B600" t="s">
        <v>468</v>
      </c>
      <c r="C600" t="s">
        <v>140</v>
      </c>
      <c r="D600">
        <v>40</v>
      </c>
    </row>
    <row r="601" spans="1:4" x14ac:dyDescent="0.25">
      <c r="A601" t="s">
        <v>1118</v>
      </c>
      <c r="B601" t="s">
        <v>468</v>
      </c>
      <c r="C601" t="s">
        <v>163</v>
      </c>
      <c r="D601">
        <v>37</v>
      </c>
    </row>
    <row r="602" spans="1:4" x14ac:dyDescent="0.25">
      <c r="A602" t="s">
        <v>1119</v>
      </c>
      <c r="B602" t="s">
        <v>468</v>
      </c>
      <c r="C602" t="s">
        <v>171</v>
      </c>
      <c r="D602">
        <v>41</v>
      </c>
    </row>
    <row r="603" spans="1:4" x14ac:dyDescent="0.25">
      <c r="A603" t="s">
        <v>1120</v>
      </c>
      <c r="B603" t="s">
        <v>468</v>
      </c>
      <c r="C603" t="s">
        <v>175</v>
      </c>
      <c r="D603">
        <v>9</v>
      </c>
    </row>
    <row r="604" spans="1:4" x14ac:dyDescent="0.25">
      <c r="A604" t="s">
        <v>1121</v>
      </c>
      <c r="B604" t="s">
        <v>468</v>
      </c>
      <c r="C604" t="s">
        <v>175</v>
      </c>
      <c r="D604">
        <v>28</v>
      </c>
    </row>
    <row r="605" spans="1:4" x14ac:dyDescent="0.25">
      <c r="A605" t="s">
        <v>1122</v>
      </c>
      <c r="B605" t="s">
        <v>469</v>
      </c>
      <c r="C605" t="s">
        <v>170</v>
      </c>
      <c r="D605">
        <v>49</v>
      </c>
    </row>
    <row r="606" spans="1:4" x14ac:dyDescent="0.25">
      <c r="A606" t="s">
        <v>1123</v>
      </c>
      <c r="B606" t="s">
        <v>469</v>
      </c>
      <c r="C606" t="s">
        <v>180</v>
      </c>
      <c r="D606">
        <v>47</v>
      </c>
    </row>
    <row r="607" spans="1:4" x14ac:dyDescent="0.25">
      <c r="A607" t="s">
        <v>1124</v>
      </c>
      <c r="B607" t="s">
        <v>469</v>
      </c>
      <c r="C607" t="s">
        <v>171</v>
      </c>
      <c r="D607">
        <v>9</v>
      </c>
    </row>
    <row r="608" spans="1:4" x14ac:dyDescent="0.25">
      <c r="A608" t="s">
        <v>1125</v>
      </c>
      <c r="B608" t="s">
        <v>469</v>
      </c>
      <c r="C608" t="s">
        <v>146</v>
      </c>
      <c r="D608">
        <v>6</v>
      </c>
    </row>
    <row r="609" spans="1:4" x14ac:dyDescent="0.25">
      <c r="A609" t="s">
        <v>1126</v>
      </c>
      <c r="B609" t="s">
        <v>470</v>
      </c>
      <c r="C609" t="s">
        <v>173</v>
      </c>
      <c r="D609">
        <v>44</v>
      </c>
    </row>
    <row r="610" spans="1:4" x14ac:dyDescent="0.25">
      <c r="A610" t="s">
        <v>1127</v>
      </c>
      <c r="B610" t="s">
        <v>470</v>
      </c>
      <c r="C610" t="s">
        <v>178</v>
      </c>
      <c r="D610">
        <v>22</v>
      </c>
    </row>
    <row r="611" spans="1:4" x14ac:dyDescent="0.25">
      <c r="A611" t="s">
        <v>1128</v>
      </c>
      <c r="B611" t="s">
        <v>470</v>
      </c>
      <c r="C611" t="s">
        <v>143</v>
      </c>
      <c r="D611">
        <v>25</v>
      </c>
    </row>
    <row r="612" spans="1:4" x14ac:dyDescent="0.25">
      <c r="A612" t="s">
        <v>1129</v>
      </c>
      <c r="B612" t="s">
        <v>470</v>
      </c>
      <c r="C612" t="s">
        <v>134</v>
      </c>
      <c r="D612">
        <v>43</v>
      </c>
    </row>
    <row r="613" spans="1:4" x14ac:dyDescent="0.25">
      <c r="A613" t="s">
        <v>1130</v>
      </c>
      <c r="B613" t="s">
        <v>471</v>
      </c>
      <c r="C613" t="s">
        <v>156</v>
      </c>
      <c r="D613">
        <v>40</v>
      </c>
    </row>
    <row r="614" spans="1:4" x14ac:dyDescent="0.25">
      <c r="A614" t="s">
        <v>1131</v>
      </c>
      <c r="B614" t="s">
        <v>471</v>
      </c>
      <c r="C614" t="s">
        <v>161</v>
      </c>
      <c r="D614">
        <v>15</v>
      </c>
    </row>
    <row r="615" spans="1:4" x14ac:dyDescent="0.25">
      <c r="A615" t="s">
        <v>1132</v>
      </c>
      <c r="B615" t="s">
        <v>471</v>
      </c>
      <c r="C615" t="s">
        <v>147</v>
      </c>
      <c r="D615">
        <v>32</v>
      </c>
    </row>
    <row r="616" spans="1:4" x14ac:dyDescent="0.25">
      <c r="A616" t="s">
        <v>1133</v>
      </c>
      <c r="B616" t="s">
        <v>471</v>
      </c>
      <c r="C616" t="s">
        <v>172</v>
      </c>
      <c r="D616">
        <v>4</v>
      </c>
    </row>
    <row r="617" spans="1:4" x14ac:dyDescent="0.25">
      <c r="A617" t="s">
        <v>1134</v>
      </c>
      <c r="B617" t="s">
        <v>472</v>
      </c>
      <c r="C617" t="s">
        <v>176</v>
      </c>
      <c r="D617">
        <v>29</v>
      </c>
    </row>
    <row r="618" spans="1:4" x14ac:dyDescent="0.25">
      <c r="A618" t="s">
        <v>1135</v>
      </c>
      <c r="B618" t="s">
        <v>472</v>
      </c>
      <c r="C618" t="s">
        <v>168</v>
      </c>
      <c r="D618">
        <v>50</v>
      </c>
    </row>
    <row r="619" spans="1:4" x14ac:dyDescent="0.25">
      <c r="A619" t="s">
        <v>1136</v>
      </c>
      <c r="B619" t="s">
        <v>472</v>
      </c>
      <c r="C619" t="s">
        <v>171</v>
      </c>
      <c r="D619">
        <v>22</v>
      </c>
    </row>
    <row r="620" spans="1:4" x14ac:dyDescent="0.25">
      <c r="A620" t="s">
        <v>1137</v>
      </c>
      <c r="B620" t="s">
        <v>472</v>
      </c>
      <c r="C620" t="s">
        <v>186</v>
      </c>
      <c r="D620">
        <v>39</v>
      </c>
    </row>
    <row r="621" spans="1:4" x14ac:dyDescent="0.25">
      <c r="A621" t="s">
        <v>1138</v>
      </c>
      <c r="B621" t="s">
        <v>473</v>
      </c>
      <c r="C621" t="s">
        <v>160</v>
      </c>
      <c r="D621">
        <v>48</v>
      </c>
    </row>
    <row r="622" spans="1:4" x14ac:dyDescent="0.25">
      <c r="A622" t="s">
        <v>1139</v>
      </c>
      <c r="B622" t="s">
        <v>474</v>
      </c>
      <c r="C622" t="s">
        <v>156</v>
      </c>
      <c r="D622">
        <v>45</v>
      </c>
    </row>
    <row r="623" spans="1:4" x14ac:dyDescent="0.25">
      <c r="A623" t="s">
        <v>1140</v>
      </c>
      <c r="B623" t="s">
        <v>474</v>
      </c>
      <c r="C623" t="s">
        <v>157</v>
      </c>
      <c r="D623">
        <v>42</v>
      </c>
    </row>
    <row r="624" spans="1:4" x14ac:dyDescent="0.25">
      <c r="A624" t="s">
        <v>1141</v>
      </c>
      <c r="B624" t="s">
        <v>475</v>
      </c>
      <c r="C624" t="s">
        <v>151</v>
      </c>
      <c r="D624">
        <v>42</v>
      </c>
    </row>
    <row r="625" spans="1:4" x14ac:dyDescent="0.25">
      <c r="A625" t="s">
        <v>1142</v>
      </c>
      <c r="B625" t="s">
        <v>475</v>
      </c>
      <c r="C625" t="s">
        <v>152</v>
      </c>
      <c r="D625">
        <v>42</v>
      </c>
    </row>
    <row r="626" spans="1:4" x14ac:dyDescent="0.25">
      <c r="A626" t="s">
        <v>1143</v>
      </c>
      <c r="B626" t="s">
        <v>476</v>
      </c>
      <c r="C626" t="s">
        <v>170</v>
      </c>
      <c r="D626">
        <v>44</v>
      </c>
    </row>
    <row r="627" spans="1:4" x14ac:dyDescent="0.25">
      <c r="A627" t="s">
        <v>1144</v>
      </c>
      <c r="B627" t="s">
        <v>477</v>
      </c>
      <c r="C627" t="s">
        <v>172</v>
      </c>
      <c r="D627">
        <v>28</v>
      </c>
    </row>
    <row r="628" spans="1:4" x14ac:dyDescent="0.25">
      <c r="A628" t="s">
        <v>1145</v>
      </c>
      <c r="B628" t="s">
        <v>477</v>
      </c>
      <c r="C628" t="s">
        <v>140</v>
      </c>
      <c r="D628">
        <v>16</v>
      </c>
    </row>
    <row r="629" spans="1:4" x14ac:dyDescent="0.25">
      <c r="A629" t="s">
        <v>1146</v>
      </c>
      <c r="B629" t="s">
        <v>477</v>
      </c>
      <c r="C629" t="s">
        <v>184</v>
      </c>
      <c r="D629">
        <v>28</v>
      </c>
    </row>
    <row r="630" spans="1:4" x14ac:dyDescent="0.25">
      <c r="A630" t="s">
        <v>1147</v>
      </c>
      <c r="B630" t="s">
        <v>477</v>
      </c>
      <c r="C630" t="s">
        <v>134</v>
      </c>
      <c r="D630">
        <v>10</v>
      </c>
    </row>
    <row r="631" spans="1:4" x14ac:dyDescent="0.25">
      <c r="A631" t="s">
        <v>1148</v>
      </c>
      <c r="B631" t="s">
        <v>478</v>
      </c>
      <c r="C631" t="s">
        <v>142</v>
      </c>
      <c r="D631">
        <v>45</v>
      </c>
    </row>
    <row r="632" spans="1:4" x14ac:dyDescent="0.25">
      <c r="A632" t="s">
        <v>1149</v>
      </c>
      <c r="B632" t="s">
        <v>479</v>
      </c>
      <c r="C632" t="s">
        <v>156</v>
      </c>
      <c r="D632">
        <v>41</v>
      </c>
    </row>
    <row r="633" spans="1:4" x14ac:dyDescent="0.25">
      <c r="A633" t="s">
        <v>1150</v>
      </c>
      <c r="B633" t="s">
        <v>479</v>
      </c>
      <c r="C633" t="s">
        <v>181</v>
      </c>
      <c r="D633">
        <v>3</v>
      </c>
    </row>
    <row r="634" spans="1:4" x14ac:dyDescent="0.25">
      <c r="A634" t="s">
        <v>1151</v>
      </c>
      <c r="B634" t="s">
        <v>479</v>
      </c>
      <c r="C634" t="s">
        <v>162</v>
      </c>
      <c r="D634">
        <v>27</v>
      </c>
    </row>
    <row r="635" spans="1:4" x14ac:dyDescent="0.25">
      <c r="A635" t="s">
        <v>1152</v>
      </c>
      <c r="B635" t="s">
        <v>479</v>
      </c>
      <c r="C635" t="s">
        <v>156</v>
      </c>
      <c r="D635">
        <v>28</v>
      </c>
    </row>
    <row r="636" spans="1:4" x14ac:dyDescent="0.25">
      <c r="A636" t="s">
        <v>1153</v>
      </c>
      <c r="B636" t="s">
        <v>479</v>
      </c>
      <c r="C636" t="s">
        <v>150</v>
      </c>
      <c r="D636">
        <v>26</v>
      </c>
    </row>
    <row r="637" spans="1:4" x14ac:dyDescent="0.25">
      <c r="A637" t="s">
        <v>1154</v>
      </c>
      <c r="B637" t="s">
        <v>480</v>
      </c>
      <c r="C637" t="s">
        <v>152</v>
      </c>
      <c r="D637">
        <v>6</v>
      </c>
    </row>
    <row r="638" spans="1:4" x14ac:dyDescent="0.25">
      <c r="A638" t="s">
        <v>1155</v>
      </c>
      <c r="B638" t="s">
        <v>481</v>
      </c>
      <c r="C638" t="s">
        <v>155</v>
      </c>
      <c r="D638">
        <v>47</v>
      </c>
    </row>
    <row r="639" spans="1:4" x14ac:dyDescent="0.25">
      <c r="A639" t="s">
        <v>1156</v>
      </c>
      <c r="B639" t="s">
        <v>481</v>
      </c>
      <c r="C639" t="s">
        <v>138</v>
      </c>
      <c r="D639">
        <v>26</v>
      </c>
    </row>
    <row r="640" spans="1:4" x14ac:dyDescent="0.25">
      <c r="A640" t="s">
        <v>1157</v>
      </c>
      <c r="B640" t="s">
        <v>482</v>
      </c>
      <c r="C640" t="s">
        <v>173</v>
      </c>
      <c r="D640">
        <v>43</v>
      </c>
    </row>
    <row r="641" spans="1:4" x14ac:dyDescent="0.25">
      <c r="A641" t="s">
        <v>1158</v>
      </c>
      <c r="B641" t="s">
        <v>482</v>
      </c>
      <c r="C641" t="s">
        <v>163</v>
      </c>
      <c r="D641">
        <v>3</v>
      </c>
    </row>
    <row r="642" spans="1:4" x14ac:dyDescent="0.25">
      <c r="A642" t="s">
        <v>1159</v>
      </c>
      <c r="B642" t="s">
        <v>482</v>
      </c>
      <c r="C642" t="s">
        <v>181</v>
      </c>
      <c r="D642">
        <v>18</v>
      </c>
    </row>
    <row r="643" spans="1:4" x14ac:dyDescent="0.25">
      <c r="A643" t="s">
        <v>1160</v>
      </c>
      <c r="B643" t="s">
        <v>483</v>
      </c>
      <c r="C643" t="s">
        <v>153</v>
      </c>
      <c r="D643">
        <v>17</v>
      </c>
    </row>
    <row r="644" spans="1:4" x14ac:dyDescent="0.25">
      <c r="A644" t="s">
        <v>1161</v>
      </c>
      <c r="B644" t="s">
        <v>483</v>
      </c>
      <c r="C644" t="s">
        <v>141</v>
      </c>
      <c r="D644">
        <v>49</v>
      </c>
    </row>
    <row r="645" spans="1:4" x14ac:dyDescent="0.25">
      <c r="A645" t="s">
        <v>1162</v>
      </c>
      <c r="B645" t="s">
        <v>484</v>
      </c>
      <c r="C645" t="s">
        <v>173</v>
      </c>
      <c r="D645">
        <v>38</v>
      </c>
    </row>
    <row r="646" spans="1:4" x14ac:dyDescent="0.25">
      <c r="A646" t="s">
        <v>1163</v>
      </c>
      <c r="B646" t="s">
        <v>484</v>
      </c>
      <c r="C646" t="s">
        <v>163</v>
      </c>
      <c r="D646">
        <v>46</v>
      </c>
    </row>
    <row r="647" spans="1:4" x14ac:dyDescent="0.25">
      <c r="A647" t="s">
        <v>1164</v>
      </c>
      <c r="B647" t="s">
        <v>484</v>
      </c>
      <c r="C647" t="s">
        <v>165</v>
      </c>
      <c r="D647">
        <v>9</v>
      </c>
    </row>
    <row r="648" spans="1:4" x14ac:dyDescent="0.25">
      <c r="A648" t="s">
        <v>1165</v>
      </c>
      <c r="B648" t="s">
        <v>484</v>
      </c>
      <c r="C648" t="s">
        <v>154</v>
      </c>
      <c r="D648">
        <v>14</v>
      </c>
    </row>
    <row r="649" spans="1:4" x14ac:dyDescent="0.25">
      <c r="A649" t="s">
        <v>1166</v>
      </c>
      <c r="B649" t="s">
        <v>484</v>
      </c>
      <c r="C649" t="s">
        <v>182</v>
      </c>
      <c r="D649">
        <v>42</v>
      </c>
    </row>
    <row r="650" spans="1:4" x14ac:dyDescent="0.25">
      <c r="A650" t="s">
        <v>1167</v>
      </c>
      <c r="B650" t="s">
        <v>485</v>
      </c>
      <c r="C650" t="s">
        <v>160</v>
      </c>
      <c r="D650">
        <v>16</v>
      </c>
    </row>
    <row r="651" spans="1:4" x14ac:dyDescent="0.25">
      <c r="A651" t="s">
        <v>1168</v>
      </c>
      <c r="B651" t="s">
        <v>485</v>
      </c>
      <c r="C651" t="s">
        <v>186</v>
      </c>
      <c r="D651">
        <v>29</v>
      </c>
    </row>
    <row r="652" spans="1:4" x14ac:dyDescent="0.25">
      <c r="A652" t="s">
        <v>1169</v>
      </c>
      <c r="B652" t="s">
        <v>485</v>
      </c>
      <c r="C652" t="s">
        <v>147</v>
      </c>
      <c r="D652">
        <v>48</v>
      </c>
    </row>
    <row r="653" spans="1:4" x14ac:dyDescent="0.25">
      <c r="A653" t="s">
        <v>1170</v>
      </c>
      <c r="B653" t="s">
        <v>486</v>
      </c>
      <c r="C653" t="s">
        <v>186</v>
      </c>
      <c r="D653">
        <v>46</v>
      </c>
    </row>
    <row r="654" spans="1:4" x14ac:dyDescent="0.25">
      <c r="A654" t="s">
        <v>1171</v>
      </c>
      <c r="B654" t="s">
        <v>486</v>
      </c>
      <c r="C654" t="s">
        <v>163</v>
      </c>
      <c r="D654">
        <v>50</v>
      </c>
    </row>
    <row r="655" spans="1:4" x14ac:dyDescent="0.25">
      <c r="A655" t="s">
        <v>1172</v>
      </c>
      <c r="B655" t="s">
        <v>487</v>
      </c>
      <c r="C655" t="s">
        <v>170</v>
      </c>
      <c r="D655">
        <v>11</v>
      </c>
    </row>
    <row r="656" spans="1:4" x14ac:dyDescent="0.25">
      <c r="A656" t="s">
        <v>1173</v>
      </c>
      <c r="B656" t="s">
        <v>487</v>
      </c>
      <c r="C656" t="s">
        <v>181</v>
      </c>
      <c r="D656">
        <v>25</v>
      </c>
    </row>
    <row r="657" spans="1:4" x14ac:dyDescent="0.25">
      <c r="A657" t="s">
        <v>1174</v>
      </c>
      <c r="B657" t="s">
        <v>488</v>
      </c>
      <c r="C657" t="s">
        <v>186</v>
      </c>
      <c r="D657">
        <v>15</v>
      </c>
    </row>
    <row r="658" spans="1:4" x14ac:dyDescent="0.25">
      <c r="A658" t="s">
        <v>1175</v>
      </c>
      <c r="B658" t="s">
        <v>488</v>
      </c>
      <c r="C658" t="s">
        <v>175</v>
      </c>
      <c r="D658">
        <v>37</v>
      </c>
    </row>
    <row r="659" spans="1:4" x14ac:dyDescent="0.25">
      <c r="A659" t="s">
        <v>1176</v>
      </c>
      <c r="B659" t="s">
        <v>489</v>
      </c>
      <c r="C659" t="s">
        <v>173</v>
      </c>
      <c r="D659">
        <v>36</v>
      </c>
    </row>
    <row r="660" spans="1:4" x14ac:dyDescent="0.25">
      <c r="A660" t="s">
        <v>1177</v>
      </c>
      <c r="B660" t="s">
        <v>489</v>
      </c>
      <c r="C660" t="s">
        <v>151</v>
      </c>
      <c r="D660">
        <v>35</v>
      </c>
    </row>
    <row r="661" spans="1:4" x14ac:dyDescent="0.25">
      <c r="A661" t="s">
        <v>1178</v>
      </c>
      <c r="B661" t="s">
        <v>490</v>
      </c>
      <c r="C661" t="s">
        <v>172</v>
      </c>
      <c r="D661">
        <v>7</v>
      </c>
    </row>
    <row r="662" spans="1:4" x14ac:dyDescent="0.25">
      <c r="A662" t="s">
        <v>1179</v>
      </c>
      <c r="B662" t="s">
        <v>490</v>
      </c>
      <c r="C662" t="s">
        <v>180</v>
      </c>
      <c r="D662">
        <v>21</v>
      </c>
    </row>
    <row r="663" spans="1:4" x14ac:dyDescent="0.25">
      <c r="A663" t="s">
        <v>1180</v>
      </c>
      <c r="B663" t="s">
        <v>490</v>
      </c>
      <c r="C663" t="s">
        <v>172</v>
      </c>
      <c r="D663">
        <v>5</v>
      </c>
    </row>
    <row r="664" spans="1:4" x14ac:dyDescent="0.25">
      <c r="A664" t="s">
        <v>1181</v>
      </c>
      <c r="B664" t="s">
        <v>490</v>
      </c>
      <c r="C664" t="s">
        <v>170</v>
      </c>
      <c r="D664">
        <v>18</v>
      </c>
    </row>
    <row r="665" spans="1:4" x14ac:dyDescent="0.25">
      <c r="A665" t="s">
        <v>1182</v>
      </c>
      <c r="B665" t="s">
        <v>490</v>
      </c>
      <c r="C665" t="s">
        <v>152</v>
      </c>
      <c r="D665">
        <v>45</v>
      </c>
    </row>
    <row r="666" spans="1:4" x14ac:dyDescent="0.25">
      <c r="A666" t="s">
        <v>1183</v>
      </c>
      <c r="B666" t="s">
        <v>491</v>
      </c>
      <c r="C666" t="s">
        <v>180</v>
      </c>
      <c r="D666">
        <v>23</v>
      </c>
    </row>
    <row r="667" spans="1:4" x14ac:dyDescent="0.25">
      <c r="A667" t="s">
        <v>1184</v>
      </c>
      <c r="B667" t="s">
        <v>492</v>
      </c>
      <c r="C667" t="s">
        <v>177</v>
      </c>
      <c r="D667">
        <v>9</v>
      </c>
    </row>
    <row r="668" spans="1:4" x14ac:dyDescent="0.25">
      <c r="A668" t="s">
        <v>1185</v>
      </c>
      <c r="B668" t="s">
        <v>492</v>
      </c>
      <c r="C668" t="s">
        <v>169</v>
      </c>
      <c r="D668">
        <v>39</v>
      </c>
    </row>
    <row r="669" spans="1:4" x14ac:dyDescent="0.25">
      <c r="A669" t="s">
        <v>1186</v>
      </c>
      <c r="B669" t="s">
        <v>492</v>
      </c>
      <c r="C669" t="s">
        <v>160</v>
      </c>
      <c r="D669">
        <v>11</v>
      </c>
    </row>
    <row r="670" spans="1:4" x14ac:dyDescent="0.25">
      <c r="A670" t="s">
        <v>1187</v>
      </c>
      <c r="B670" t="s">
        <v>492</v>
      </c>
      <c r="C670" t="s">
        <v>181</v>
      </c>
      <c r="D670">
        <v>36</v>
      </c>
    </row>
    <row r="671" spans="1:4" x14ac:dyDescent="0.25">
      <c r="A671" t="s">
        <v>1188</v>
      </c>
      <c r="B671" t="s">
        <v>492</v>
      </c>
      <c r="C671" t="s">
        <v>141</v>
      </c>
      <c r="D671">
        <v>34</v>
      </c>
    </row>
    <row r="672" spans="1:4" x14ac:dyDescent="0.25">
      <c r="A672" t="s">
        <v>1189</v>
      </c>
      <c r="B672" t="s">
        <v>493</v>
      </c>
      <c r="C672" t="s">
        <v>161</v>
      </c>
      <c r="D672">
        <v>25</v>
      </c>
    </row>
    <row r="673" spans="1:4" x14ac:dyDescent="0.25">
      <c r="A673" t="s">
        <v>1190</v>
      </c>
      <c r="B673" t="s">
        <v>493</v>
      </c>
      <c r="C673" t="s">
        <v>186</v>
      </c>
      <c r="D673">
        <v>27</v>
      </c>
    </row>
    <row r="674" spans="1:4" x14ac:dyDescent="0.25">
      <c r="A674" t="s">
        <v>1191</v>
      </c>
      <c r="B674" t="s">
        <v>493</v>
      </c>
      <c r="C674" t="s">
        <v>142</v>
      </c>
      <c r="D674">
        <v>15</v>
      </c>
    </row>
    <row r="675" spans="1:4" x14ac:dyDescent="0.25">
      <c r="A675" t="s">
        <v>1192</v>
      </c>
      <c r="B675" t="s">
        <v>494</v>
      </c>
      <c r="C675" t="s">
        <v>140</v>
      </c>
      <c r="D675">
        <v>6</v>
      </c>
    </row>
    <row r="676" spans="1:4" x14ac:dyDescent="0.25">
      <c r="A676" t="s">
        <v>1193</v>
      </c>
      <c r="B676" t="s">
        <v>494</v>
      </c>
      <c r="C676" t="s">
        <v>156</v>
      </c>
      <c r="D676">
        <v>2</v>
      </c>
    </row>
    <row r="677" spans="1:4" x14ac:dyDescent="0.25">
      <c r="A677" t="s">
        <v>1194</v>
      </c>
      <c r="B677" t="s">
        <v>495</v>
      </c>
      <c r="C677" t="s">
        <v>147</v>
      </c>
      <c r="D677">
        <v>50</v>
      </c>
    </row>
    <row r="678" spans="1:4" x14ac:dyDescent="0.25">
      <c r="A678" t="s">
        <v>1195</v>
      </c>
      <c r="B678" t="s">
        <v>495</v>
      </c>
      <c r="C678" t="s">
        <v>155</v>
      </c>
      <c r="D678">
        <v>1</v>
      </c>
    </row>
    <row r="679" spans="1:4" x14ac:dyDescent="0.25">
      <c r="A679" t="s">
        <v>1196</v>
      </c>
      <c r="B679" t="s">
        <v>495</v>
      </c>
      <c r="C679" t="s">
        <v>153</v>
      </c>
      <c r="D679">
        <v>22</v>
      </c>
    </row>
    <row r="680" spans="1:4" x14ac:dyDescent="0.25">
      <c r="A680" t="s">
        <v>1197</v>
      </c>
      <c r="B680" t="s">
        <v>496</v>
      </c>
      <c r="C680" t="s">
        <v>160</v>
      </c>
      <c r="D680">
        <v>2</v>
      </c>
    </row>
    <row r="681" spans="1:4" x14ac:dyDescent="0.25">
      <c r="A681" t="s">
        <v>1198</v>
      </c>
      <c r="B681" t="s">
        <v>497</v>
      </c>
      <c r="C681" t="s">
        <v>162</v>
      </c>
      <c r="D681">
        <v>49</v>
      </c>
    </row>
    <row r="682" spans="1:4" x14ac:dyDescent="0.25">
      <c r="A682" t="s">
        <v>1199</v>
      </c>
      <c r="B682" t="s">
        <v>497</v>
      </c>
      <c r="C682" t="s">
        <v>164</v>
      </c>
      <c r="D682">
        <v>6</v>
      </c>
    </row>
    <row r="683" spans="1:4" x14ac:dyDescent="0.25">
      <c r="A683" t="s">
        <v>1200</v>
      </c>
      <c r="B683" t="s">
        <v>498</v>
      </c>
      <c r="C683" t="s">
        <v>160</v>
      </c>
      <c r="D683">
        <v>14</v>
      </c>
    </row>
    <row r="684" spans="1:4" x14ac:dyDescent="0.25">
      <c r="A684" t="s">
        <v>1201</v>
      </c>
      <c r="B684" t="s">
        <v>498</v>
      </c>
      <c r="C684" t="s">
        <v>164</v>
      </c>
      <c r="D684">
        <v>25</v>
      </c>
    </row>
    <row r="685" spans="1:4" x14ac:dyDescent="0.25">
      <c r="A685" t="s">
        <v>1202</v>
      </c>
      <c r="B685" t="s">
        <v>498</v>
      </c>
      <c r="C685" t="s">
        <v>180</v>
      </c>
      <c r="D685">
        <v>10</v>
      </c>
    </row>
    <row r="686" spans="1:4" x14ac:dyDescent="0.25">
      <c r="A686" t="s">
        <v>1203</v>
      </c>
      <c r="B686" t="s">
        <v>498</v>
      </c>
      <c r="C686" t="s">
        <v>147</v>
      </c>
      <c r="D686">
        <v>11</v>
      </c>
    </row>
    <row r="687" spans="1:4" x14ac:dyDescent="0.25">
      <c r="A687" t="s">
        <v>1204</v>
      </c>
      <c r="B687" t="s">
        <v>499</v>
      </c>
      <c r="C687" t="s">
        <v>185</v>
      </c>
      <c r="D687">
        <v>37</v>
      </c>
    </row>
    <row r="688" spans="1:4" x14ac:dyDescent="0.25">
      <c r="A688" t="s">
        <v>1205</v>
      </c>
      <c r="B688" t="s">
        <v>499</v>
      </c>
      <c r="C688" t="s">
        <v>150</v>
      </c>
      <c r="D688">
        <v>16</v>
      </c>
    </row>
    <row r="689" spans="1:4" x14ac:dyDescent="0.25">
      <c r="A689" t="s">
        <v>1206</v>
      </c>
      <c r="B689" t="s">
        <v>499</v>
      </c>
      <c r="C689" t="s">
        <v>164</v>
      </c>
      <c r="D689">
        <v>27</v>
      </c>
    </row>
    <row r="690" spans="1:4" x14ac:dyDescent="0.25">
      <c r="A690" t="s">
        <v>1207</v>
      </c>
      <c r="B690" t="s">
        <v>499</v>
      </c>
      <c r="C690" t="s">
        <v>161</v>
      </c>
      <c r="D690">
        <v>15</v>
      </c>
    </row>
    <row r="691" spans="1:4" x14ac:dyDescent="0.25">
      <c r="A691" t="s">
        <v>1208</v>
      </c>
      <c r="B691" t="s">
        <v>499</v>
      </c>
      <c r="C691" t="s">
        <v>150</v>
      </c>
      <c r="D691">
        <v>39</v>
      </c>
    </row>
    <row r="692" spans="1:4" x14ac:dyDescent="0.25">
      <c r="A692" t="s">
        <v>1209</v>
      </c>
      <c r="B692" t="s">
        <v>500</v>
      </c>
      <c r="C692" t="s">
        <v>168</v>
      </c>
      <c r="D692">
        <v>48</v>
      </c>
    </row>
    <row r="693" spans="1:4" x14ac:dyDescent="0.25">
      <c r="A693" t="s">
        <v>1210</v>
      </c>
      <c r="B693" t="s">
        <v>500</v>
      </c>
      <c r="C693" t="s">
        <v>169</v>
      </c>
      <c r="D693">
        <v>22</v>
      </c>
    </row>
    <row r="694" spans="1:4" x14ac:dyDescent="0.25">
      <c r="A694" t="s">
        <v>1211</v>
      </c>
      <c r="B694" t="s">
        <v>500</v>
      </c>
      <c r="C694" t="s">
        <v>181</v>
      </c>
      <c r="D694">
        <v>30</v>
      </c>
    </row>
    <row r="695" spans="1:4" x14ac:dyDescent="0.25">
      <c r="A695" t="s">
        <v>1212</v>
      </c>
      <c r="B695" t="s">
        <v>500</v>
      </c>
      <c r="C695" t="s">
        <v>186</v>
      </c>
      <c r="D695">
        <v>2</v>
      </c>
    </row>
    <row r="696" spans="1:4" x14ac:dyDescent="0.25">
      <c r="A696" t="s">
        <v>1213</v>
      </c>
      <c r="B696" t="s">
        <v>500</v>
      </c>
      <c r="C696" t="s">
        <v>176</v>
      </c>
      <c r="D696">
        <v>26</v>
      </c>
    </row>
    <row r="697" spans="1:4" x14ac:dyDescent="0.25">
      <c r="A697" t="s">
        <v>1214</v>
      </c>
      <c r="B697" t="s">
        <v>501</v>
      </c>
      <c r="C697" t="s">
        <v>169</v>
      </c>
      <c r="D697">
        <v>34</v>
      </c>
    </row>
    <row r="698" spans="1:4" x14ac:dyDescent="0.25">
      <c r="A698" t="s">
        <v>1215</v>
      </c>
      <c r="B698" t="s">
        <v>501</v>
      </c>
      <c r="C698" t="s">
        <v>160</v>
      </c>
      <c r="D698">
        <v>28</v>
      </c>
    </row>
    <row r="699" spans="1:4" x14ac:dyDescent="0.25">
      <c r="A699" t="s">
        <v>1216</v>
      </c>
      <c r="B699" t="s">
        <v>501</v>
      </c>
      <c r="C699" t="s">
        <v>141</v>
      </c>
      <c r="D699">
        <v>37</v>
      </c>
    </row>
    <row r="700" spans="1:4" x14ac:dyDescent="0.25">
      <c r="A700" t="s">
        <v>1217</v>
      </c>
      <c r="B700" t="s">
        <v>502</v>
      </c>
      <c r="C700" t="s">
        <v>162</v>
      </c>
      <c r="D700">
        <v>35</v>
      </c>
    </row>
    <row r="701" spans="1:4" x14ac:dyDescent="0.25">
      <c r="A701" t="s">
        <v>1218</v>
      </c>
      <c r="B701" t="s">
        <v>502</v>
      </c>
      <c r="C701" t="s">
        <v>169</v>
      </c>
      <c r="D701">
        <v>47</v>
      </c>
    </row>
    <row r="702" spans="1:4" x14ac:dyDescent="0.25">
      <c r="A702" t="s">
        <v>1219</v>
      </c>
      <c r="B702" t="s">
        <v>503</v>
      </c>
      <c r="C702" t="s">
        <v>181</v>
      </c>
      <c r="D702">
        <v>6</v>
      </c>
    </row>
    <row r="703" spans="1:4" x14ac:dyDescent="0.25">
      <c r="A703" t="s">
        <v>1220</v>
      </c>
      <c r="B703" t="s">
        <v>503</v>
      </c>
      <c r="C703" t="s">
        <v>172</v>
      </c>
      <c r="D703">
        <v>4</v>
      </c>
    </row>
    <row r="704" spans="1:4" x14ac:dyDescent="0.25">
      <c r="A704" t="s">
        <v>1221</v>
      </c>
      <c r="B704" t="s">
        <v>503</v>
      </c>
      <c r="C704" t="s">
        <v>178</v>
      </c>
      <c r="D704">
        <v>31</v>
      </c>
    </row>
    <row r="705" spans="1:4" x14ac:dyDescent="0.25">
      <c r="A705" t="s">
        <v>1222</v>
      </c>
      <c r="B705" t="s">
        <v>503</v>
      </c>
      <c r="C705" t="s">
        <v>155</v>
      </c>
      <c r="D705">
        <v>49</v>
      </c>
    </row>
    <row r="706" spans="1:4" x14ac:dyDescent="0.25">
      <c r="A706" t="s">
        <v>1223</v>
      </c>
      <c r="B706" t="s">
        <v>504</v>
      </c>
      <c r="C706" t="s">
        <v>177</v>
      </c>
      <c r="D706">
        <v>27</v>
      </c>
    </row>
    <row r="707" spans="1:4" x14ac:dyDescent="0.25">
      <c r="A707" t="s">
        <v>1224</v>
      </c>
      <c r="B707" t="s">
        <v>505</v>
      </c>
      <c r="C707" t="s">
        <v>162</v>
      </c>
      <c r="D707">
        <v>28</v>
      </c>
    </row>
    <row r="708" spans="1:4" x14ac:dyDescent="0.25">
      <c r="A708" t="s">
        <v>1225</v>
      </c>
      <c r="B708" t="s">
        <v>505</v>
      </c>
      <c r="C708" t="s">
        <v>150</v>
      </c>
      <c r="D708">
        <v>2</v>
      </c>
    </row>
    <row r="709" spans="1:4" x14ac:dyDescent="0.25">
      <c r="A709" t="s">
        <v>1226</v>
      </c>
      <c r="B709" t="s">
        <v>505</v>
      </c>
      <c r="C709" t="s">
        <v>180</v>
      </c>
      <c r="D709">
        <v>49</v>
      </c>
    </row>
    <row r="710" spans="1:4" x14ac:dyDescent="0.25">
      <c r="A710" t="s">
        <v>1227</v>
      </c>
      <c r="B710" t="s">
        <v>505</v>
      </c>
      <c r="C710" t="s">
        <v>176</v>
      </c>
      <c r="D710">
        <v>48</v>
      </c>
    </row>
    <row r="711" spans="1:4" x14ac:dyDescent="0.25">
      <c r="A711" t="s">
        <v>1228</v>
      </c>
      <c r="B711" t="s">
        <v>505</v>
      </c>
      <c r="C711" t="s">
        <v>170</v>
      </c>
      <c r="D711">
        <v>44</v>
      </c>
    </row>
    <row r="712" spans="1:4" x14ac:dyDescent="0.25">
      <c r="A712" t="s">
        <v>1229</v>
      </c>
      <c r="B712" t="s">
        <v>506</v>
      </c>
      <c r="C712" t="s">
        <v>151</v>
      </c>
      <c r="D712">
        <v>25</v>
      </c>
    </row>
    <row r="713" spans="1:4" x14ac:dyDescent="0.25">
      <c r="A713" t="s">
        <v>1230</v>
      </c>
      <c r="B713" t="s">
        <v>507</v>
      </c>
      <c r="C713" t="s">
        <v>171</v>
      </c>
      <c r="D713">
        <v>4</v>
      </c>
    </row>
    <row r="714" spans="1:4" x14ac:dyDescent="0.25">
      <c r="A714" t="s">
        <v>1231</v>
      </c>
      <c r="B714" t="s">
        <v>508</v>
      </c>
      <c r="C714" t="s">
        <v>153</v>
      </c>
      <c r="D714">
        <v>20</v>
      </c>
    </row>
    <row r="715" spans="1:4" x14ac:dyDescent="0.25">
      <c r="A715" t="s">
        <v>1232</v>
      </c>
      <c r="B715" t="s">
        <v>509</v>
      </c>
      <c r="C715" t="s">
        <v>138</v>
      </c>
      <c r="D715">
        <v>13</v>
      </c>
    </row>
    <row r="716" spans="1:4" x14ac:dyDescent="0.25">
      <c r="A716" t="s">
        <v>1233</v>
      </c>
      <c r="B716" t="s">
        <v>509</v>
      </c>
      <c r="C716" t="s">
        <v>168</v>
      </c>
      <c r="D716">
        <v>44</v>
      </c>
    </row>
    <row r="717" spans="1:4" x14ac:dyDescent="0.25">
      <c r="A717" t="s">
        <v>1234</v>
      </c>
      <c r="B717" t="s">
        <v>509</v>
      </c>
      <c r="C717" t="s">
        <v>176</v>
      </c>
      <c r="D717">
        <v>21</v>
      </c>
    </row>
    <row r="718" spans="1:4" x14ac:dyDescent="0.25">
      <c r="A718" t="s">
        <v>1235</v>
      </c>
      <c r="B718" t="s">
        <v>509</v>
      </c>
      <c r="C718" t="s">
        <v>183</v>
      </c>
      <c r="D718">
        <v>30</v>
      </c>
    </row>
    <row r="719" spans="1:4" x14ac:dyDescent="0.25">
      <c r="A719" t="s">
        <v>1236</v>
      </c>
      <c r="B719" t="s">
        <v>509</v>
      </c>
      <c r="C719" t="s">
        <v>146</v>
      </c>
      <c r="D719">
        <v>16</v>
      </c>
    </row>
    <row r="720" spans="1:4" x14ac:dyDescent="0.25">
      <c r="A720" t="s">
        <v>1237</v>
      </c>
      <c r="B720" t="s">
        <v>510</v>
      </c>
      <c r="C720" t="s">
        <v>182</v>
      </c>
      <c r="D720">
        <v>2</v>
      </c>
    </row>
    <row r="721" spans="1:4" x14ac:dyDescent="0.25">
      <c r="A721" t="s">
        <v>1238</v>
      </c>
      <c r="B721" t="s">
        <v>510</v>
      </c>
      <c r="C721" t="s">
        <v>161</v>
      </c>
      <c r="D721">
        <v>46</v>
      </c>
    </row>
    <row r="722" spans="1:4" x14ac:dyDescent="0.25">
      <c r="A722" t="s">
        <v>1239</v>
      </c>
      <c r="B722" t="s">
        <v>511</v>
      </c>
      <c r="C722" t="s">
        <v>147</v>
      </c>
      <c r="D722">
        <v>7</v>
      </c>
    </row>
    <row r="723" spans="1:4" x14ac:dyDescent="0.25">
      <c r="A723" t="s">
        <v>1240</v>
      </c>
      <c r="B723" t="s">
        <v>511</v>
      </c>
      <c r="C723" t="s">
        <v>142</v>
      </c>
      <c r="D723">
        <v>14</v>
      </c>
    </row>
    <row r="724" spans="1:4" x14ac:dyDescent="0.25">
      <c r="A724" t="s">
        <v>1241</v>
      </c>
      <c r="B724" t="s">
        <v>511</v>
      </c>
      <c r="C724" t="s">
        <v>144</v>
      </c>
      <c r="D724">
        <v>35</v>
      </c>
    </row>
    <row r="725" spans="1:4" x14ac:dyDescent="0.25">
      <c r="A725" t="s">
        <v>1242</v>
      </c>
      <c r="B725" t="s">
        <v>512</v>
      </c>
      <c r="C725" t="s">
        <v>182</v>
      </c>
      <c r="D725">
        <v>3</v>
      </c>
    </row>
    <row r="726" spans="1:4" x14ac:dyDescent="0.25">
      <c r="A726" t="s">
        <v>1243</v>
      </c>
      <c r="B726" t="s">
        <v>512</v>
      </c>
      <c r="C726" t="s">
        <v>144</v>
      </c>
      <c r="D726">
        <v>18</v>
      </c>
    </row>
    <row r="727" spans="1:4" x14ac:dyDescent="0.25">
      <c r="A727" t="s">
        <v>1244</v>
      </c>
      <c r="B727" t="s">
        <v>512</v>
      </c>
      <c r="C727" t="s">
        <v>134</v>
      </c>
      <c r="D727">
        <v>1</v>
      </c>
    </row>
    <row r="728" spans="1:4" x14ac:dyDescent="0.25">
      <c r="A728" t="s">
        <v>1245</v>
      </c>
      <c r="B728" t="s">
        <v>512</v>
      </c>
      <c r="C728" t="s">
        <v>182</v>
      </c>
      <c r="D728">
        <v>31</v>
      </c>
    </row>
    <row r="729" spans="1:4" x14ac:dyDescent="0.25">
      <c r="A729" t="s">
        <v>1246</v>
      </c>
      <c r="B729" t="s">
        <v>513</v>
      </c>
      <c r="C729" t="s">
        <v>154</v>
      </c>
      <c r="D729">
        <v>28</v>
      </c>
    </row>
    <row r="730" spans="1:4" x14ac:dyDescent="0.25">
      <c r="A730" t="s">
        <v>1247</v>
      </c>
      <c r="B730" t="s">
        <v>513</v>
      </c>
      <c r="C730" t="s">
        <v>177</v>
      </c>
      <c r="D730">
        <v>49</v>
      </c>
    </row>
    <row r="731" spans="1:4" x14ac:dyDescent="0.25">
      <c r="A731" t="s">
        <v>1248</v>
      </c>
      <c r="B731" t="s">
        <v>513</v>
      </c>
      <c r="C731" t="s">
        <v>168</v>
      </c>
      <c r="D731">
        <v>43</v>
      </c>
    </row>
    <row r="732" spans="1:4" x14ac:dyDescent="0.25">
      <c r="A732" t="s">
        <v>1249</v>
      </c>
      <c r="B732" t="s">
        <v>513</v>
      </c>
      <c r="C732" t="s">
        <v>156</v>
      </c>
      <c r="D732">
        <v>36</v>
      </c>
    </row>
    <row r="733" spans="1:4" x14ac:dyDescent="0.25">
      <c r="A733" t="s">
        <v>1250</v>
      </c>
      <c r="B733" t="s">
        <v>513</v>
      </c>
      <c r="C733" t="s">
        <v>177</v>
      </c>
      <c r="D733">
        <v>36</v>
      </c>
    </row>
    <row r="734" spans="1:4" x14ac:dyDescent="0.25">
      <c r="A734" t="s">
        <v>1251</v>
      </c>
      <c r="B734" t="s">
        <v>514</v>
      </c>
      <c r="C734" t="s">
        <v>138</v>
      </c>
      <c r="D734">
        <v>38</v>
      </c>
    </row>
    <row r="735" spans="1:4" x14ac:dyDescent="0.25">
      <c r="A735" t="s">
        <v>1252</v>
      </c>
      <c r="B735" t="s">
        <v>515</v>
      </c>
      <c r="C735" t="s">
        <v>178</v>
      </c>
      <c r="D735">
        <v>4</v>
      </c>
    </row>
    <row r="736" spans="1:4" x14ac:dyDescent="0.25">
      <c r="A736" t="s">
        <v>1253</v>
      </c>
      <c r="B736" t="s">
        <v>515</v>
      </c>
      <c r="C736" t="s">
        <v>156</v>
      </c>
      <c r="D736">
        <v>48</v>
      </c>
    </row>
    <row r="737" spans="1:4" x14ac:dyDescent="0.25">
      <c r="A737" t="s">
        <v>1254</v>
      </c>
      <c r="B737" t="s">
        <v>515</v>
      </c>
      <c r="C737" t="s">
        <v>168</v>
      </c>
      <c r="D737">
        <v>41</v>
      </c>
    </row>
    <row r="738" spans="1:4" x14ac:dyDescent="0.25">
      <c r="A738" t="s">
        <v>1255</v>
      </c>
      <c r="B738" t="s">
        <v>515</v>
      </c>
      <c r="C738" t="s">
        <v>147</v>
      </c>
      <c r="D738">
        <v>13</v>
      </c>
    </row>
    <row r="739" spans="1:4" x14ac:dyDescent="0.25">
      <c r="A739" t="s">
        <v>1256</v>
      </c>
      <c r="B739" t="s">
        <v>515</v>
      </c>
      <c r="C739" t="s">
        <v>185</v>
      </c>
      <c r="D739">
        <v>12</v>
      </c>
    </row>
    <row r="740" spans="1:4" x14ac:dyDescent="0.25">
      <c r="A740" t="s">
        <v>1257</v>
      </c>
      <c r="B740" t="s">
        <v>516</v>
      </c>
      <c r="C740" t="s">
        <v>140</v>
      </c>
      <c r="D740">
        <v>5</v>
      </c>
    </row>
    <row r="741" spans="1:4" x14ac:dyDescent="0.25">
      <c r="A741" t="s">
        <v>1258</v>
      </c>
      <c r="B741" t="s">
        <v>516</v>
      </c>
      <c r="C741" t="s">
        <v>134</v>
      </c>
      <c r="D741">
        <v>13</v>
      </c>
    </row>
    <row r="742" spans="1:4" x14ac:dyDescent="0.25">
      <c r="A742" t="s">
        <v>1259</v>
      </c>
      <c r="B742" t="s">
        <v>516</v>
      </c>
      <c r="C742" t="s">
        <v>181</v>
      </c>
      <c r="D742">
        <v>50</v>
      </c>
    </row>
    <row r="743" spans="1:4" x14ac:dyDescent="0.25">
      <c r="A743" t="s">
        <v>1260</v>
      </c>
      <c r="B743" t="s">
        <v>516</v>
      </c>
      <c r="C743" t="s">
        <v>162</v>
      </c>
      <c r="D743">
        <v>22</v>
      </c>
    </row>
    <row r="744" spans="1:4" x14ac:dyDescent="0.25">
      <c r="A744" t="s">
        <v>1261</v>
      </c>
      <c r="B744" t="s">
        <v>516</v>
      </c>
      <c r="C744" t="s">
        <v>170</v>
      </c>
      <c r="D744">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RowHeight="15" x14ac:dyDescent="0.25"/>
  <cols>
    <col min="1" max="1" width="13.140625" bestFit="1" customWidth="1"/>
    <col min="2" max="2" width="20.7109375" bestFit="1" customWidth="1"/>
  </cols>
  <sheetData>
    <row r="3" spans="1:2" x14ac:dyDescent="0.25">
      <c r="A3" s="2" t="s">
        <v>1589</v>
      </c>
      <c r="B3" s="5" t="s">
        <v>1593</v>
      </c>
    </row>
    <row r="4" spans="1:2" x14ac:dyDescent="0.25">
      <c r="A4" s="3" t="s">
        <v>1590</v>
      </c>
      <c r="B4" s="6">
        <v>0.328125</v>
      </c>
    </row>
    <row r="5" spans="1:2" x14ac:dyDescent="0.25">
      <c r="A5" s="3" t="s">
        <v>1591</v>
      </c>
      <c r="B5" s="6">
        <v>0.671875</v>
      </c>
    </row>
    <row r="6" spans="1:2" x14ac:dyDescent="0.25">
      <c r="A6" s="3" t="s">
        <v>1592</v>
      </c>
      <c r="B6" s="6">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5" x14ac:dyDescent="0.25"/>
  <cols>
    <col min="1" max="1" width="13.140625" bestFit="1" customWidth="1"/>
    <col min="2" max="2" width="20.7109375" customWidth="1"/>
    <col min="3" max="3" width="23.28515625" bestFit="1" customWidth="1"/>
    <col min="4" max="4" width="21.5703125" bestFit="1" customWidth="1"/>
  </cols>
  <sheetData>
    <row r="3" spans="1:2" x14ac:dyDescent="0.25">
      <c r="A3" s="2" t="s">
        <v>1589</v>
      </c>
      <c r="B3" t="s">
        <v>1593</v>
      </c>
    </row>
    <row r="4" spans="1:2" x14ac:dyDescent="0.25">
      <c r="A4" s="3" t="s">
        <v>192</v>
      </c>
      <c r="B4" s="4">
        <v>55</v>
      </c>
    </row>
    <row r="5" spans="1:2" x14ac:dyDescent="0.25">
      <c r="A5" s="3" t="s">
        <v>196</v>
      </c>
      <c r="B5" s="4">
        <v>72</v>
      </c>
    </row>
    <row r="6" spans="1:2" x14ac:dyDescent="0.25">
      <c r="A6" s="3" t="s">
        <v>200</v>
      </c>
      <c r="B6" s="4">
        <v>55</v>
      </c>
    </row>
    <row r="7" spans="1:2" x14ac:dyDescent="0.25">
      <c r="A7" s="3" t="s">
        <v>203</v>
      </c>
      <c r="B7" s="4">
        <v>78</v>
      </c>
    </row>
    <row r="8" spans="1:2" x14ac:dyDescent="0.25">
      <c r="A8" s="3" t="s">
        <v>206</v>
      </c>
      <c r="B8" s="4">
        <v>60</v>
      </c>
    </row>
    <row r="9" spans="1:2" x14ac:dyDescent="0.25">
      <c r="A9" s="3" t="s">
        <v>1592</v>
      </c>
      <c r="B9" s="4">
        <v>320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B16" sqref="B16"/>
    </sheetView>
  </sheetViews>
  <sheetFormatPr defaultRowHeight="15" x14ac:dyDescent="0.25"/>
  <cols>
    <col min="1" max="1" width="13.140625" bestFit="1" customWidth="1"/>
    <col min="2" max="2" width="21.5703125" bestFit="1" customWidth="1"/>
  </cols>
  <sheetData>
    <row r="3" spans="1:2" x14ac:dyDescent="0.25">
      <c r="A3" s="2" t="s">
        <v>1589</v>
      </c>
      <c r="B3" t="s">
        <v>1594</v>
      </c>
    </row>
    <row r="4" spans="1:2" x14ac:dyDescent="0.25">
      <c r="A4" s="3" t="s">
        <v>237</v>
      </c>
      <c r="B4" s="7">
        <v>0.52173913043478259</v>
      </c>
    </row>
    <row r="5" spans="1:2" x14ac:dyDescent="0.25">
      <c r="A5" s="3" t="s">
        <v>240</v>
      </c>
      <c r="B5" s="7">
        <v>1.2222222222222223</v>
      </c>
    </row>
    <row r="6" spans="1:2" x14ac:dyDescent="0.25">
      <c r="A6" s="3" t="s">
        <v>242</v>
      </c>
      <c r="B6" s="7">
        <v>1</v>
      </c>
    </row>
    <row r="7" spans="1:2" x14ac:dyDescent="0.25">
      <c r="A7" s="3" t="s">
        <v>244</v>
      </c>
      <c r="B7" s="7">
        <v>1.6956521739130435</v>
      </c>
    </row>
    <row r="8" spans="1:2" x14ac:dyDescent="0.25">
      <c r="A8" s="3" t="s">
        <v>246</v>
      </c>
      <c r="B8" s="7">
        <v>1.1724137931034482</v>
      </c>
    </row>
    <row r="9" spans="1:2" x14ac:dyDescent="0.25">
      <c r="A9" s="3" t="s">
        <v>247</v>
      </c>
      <c r="B9" s="7">
        <v>0.92307692307692313</v>
      </c>
    </row>
    <row r="10" spans="1:2" x14ac:dyDescent="0.25">
      <c r="A10" s="3" t="s">
        <v>249</v>
      </c>
      <c r="B10" s="7">
        <v>0.93333333333333335</v>
      </c>
    </row>
    <row r="11" spans="1:2" x14ac:dyDescent="0.25">
      <c r="A11" s="3" t="s">
        <v>251</v>
      </c>
      <c r="B11" s="7">
        <v>1.4</v>
      </c>
    </row>
    <row r="12" spans="1:2" x14ac:dyDescent="0.25">
      <c r="A12" s="3" t="s">
        <v>253</v>
      </c>
      <c r="B12" s="7">
        <v>0.89655172413793105</v>
      </c>
    </row>
    <row r="13" spans="1:2" x14ac:dyDescent="0.25">
      <c r="A13" s="3" t="s">
        <v>255</v>
      </c>
      <c r="B13" s="7">
        <v>0.92307692307692313</v>
      </c>
    </row>
    <row r="14" spans="1:2" x14ac:dyDescent="0.25">
      <c r="A14" s="3" t="s">
        <v>257</v>
      </c>
      <c r="B14" s="7">
        <v>1</v>
      </c>
    </row>
    <row r="15" spans="1:2" x14ac:dyDescent="0.25">
      <c r="A15" s="3" t="s">
        <v>259</v>
      </c>
      <c r="B15" s="7">
        <v>0.53846153846153844</v>
      </c>
    </row>
    <row r="16" spans="1:2" x14ac:dyDescent="0.25">
      <c r="A16" s="3" t="s">
        <v>1592</v>
      </c>
      <c r="B16" s="7">
        <v>1.0218750000000001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3.140625" bestFit="1" customWidth="1"/>
    <col min="2" max="2" width="20.7109375" bestFit="1" customWidth="1"/>
  </cols>
  <sheetData>
    <row r="3" spans="1:2" x14ac:dyDescent="0.25">
      <c r="A3" s="2" t="s">
        <v>1589</v>
      </c>
      <c r="B3" t="s">
        <v>1593</v>
      </c>
    </row>
    <row r="4" spans="1:2" x14ac:dyDescent="0.25">
      <c r="A4" s="3" t="s">
        <v>1596</v>
      </c>
      <c r="B4" s="4">
        <v>65</v>
      </c>
    </row>
    <row r="5" spans="1:2" x14ac:dyDescent="0.25">
      <c r="A5" s="3" t="s">
        <v>1595</v>
      </c>
      <c r="B5" s="4">
        <v>40</v>
      </c>
    </row>
    <row r="6" spans="1:2" x14ac:dyDescent="0.25">
      <c r="A6" s="3" t="s">
        <v>1591</v>
      </c>
      <c r="B6" s="4">
        <v>215</v>
      </c>
    </row>
    <row r="7" spans="1:2" x14ac:dyDescent="0.25">
      <c r="A7" s="3" t="s">
        <v>1592</v>
      </c>
      <c r="B7" s="4">
        <v>320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1"/>
  <sheetViews>
    <sheetView topLeftCell="G1" workbookViewId="0">
      <selection activeCell="L11" sqref="L11"/>
    </sheetView>
  </sheetViews>
  <sheetFormatPr defaultRowHeight="15" x14ac:dyDescent="0.25"/>
  <cols>
    <col min="1" max="1" width="15" customWidth="1"/>
    <col min="2" max="2" width="13.28515625" customWidth="1"/>
    <col min="3" max="3" width="16.28515625" customWidth="1"/>
    <col min="4" max="4" width="12" customWidth="1"/>
    <col min="5" max="5" width="11.7109375" customWidth="1"/>
    <col min="6" max="6" width="15.85546875" customWidth="1"/>
    <col min="7" max="7" width="28.42578125" customWidth="1"/>
    <col min="8" max="8" width="23.28515625" customWidth="1"/>
    <col min="9" max="9" width="15.42578125" customWidth="1"/>
    <col min="10" max="11" width="17" customWidth="1"/>
  </cols>
  <sheetData>
    <row r="1" spans="1:11" x14ac:dyDescent="0.25">
      <c r="A1" t="s">
        <v>1262</v>
      </c>
      <c r="B1" t="s">
        <v>261</v>
      </c>
      <c r="C1" t="s">
        <v>187</v>
      </c>
      <c r="D1" t="s">
        <v>209</v>
      </c>
      <c r="E1" t="s">
        <v>233</v>
      </c>
      <c r="F1" t="s">
        <v>1263</v>
      </c>
      <c r="G1" t="s">
        <v>1264</v>
      </c>
      <c r="H1" t="s">
        <v>1265</v>
      </c>
      <c r="I1" t="s">
        <v>1586</v>
      </c>
      <c r="J1" t="s">
        <v>1587</v>
      </c>
      <c r="K1" t="s">
        <v>1588</v>
      </c>
    </row>
    <row r="2" spans="1:11" x14ac:dyDescent="0.25">
      <c r="A2" t="s">
        <v>1266</v>
      </c>
      <c r="B2" t="s">
        <v>419</v>
      </c>
      <c r="C2" t="s">
        <v>200</v>
      </c>
      <c r="D2" t="s">
        <v>227</v>
      </c>
      <c r="E2" t="s">
        <v>257</v>
      </c>
      <c r="F2">
        <f ca="1">VLOOKUP(B2, Orders!A:E, 3, FALSE) + RANDBETWEEN(0,2)</f>
        <v>45893</v>
      </c>
      <c r="G2">
        <f ca="1">F2+VLOOKUP(E2,Routes!A:D,4,FALSE)</f>
        <v>45896</v>
      </c>
      <c r="H2">
        <f ca="1">G2+IF(RAND()&lt;0.3,RANDBETWEEN(1,5),0)</f>
        <v>45896</v>
      </c>
      <c r="I2">
        <f ca="1">H2-G2</f>
        <v>0</v>
      </c>
      <c r="J2" t="str">
        <f ca="1">IF(I2&gt;0,"Late", "On Time")</f>
        <v>On Time</v>
      </c>
      <c r="K2" t="str">
        <f ca="1">IF(I2&lt;=0, "On Time",  IF(I2&lt;=2, "Minor Delay", "Major Delay"))</f>
        <v>On Time</v>
      </c>
    </row>
    <row r="3" spans="1:11" x14ac:dyDescent="0.25">
      <c r="A3" t="s">
        <v>1267</v>
      </c>
      <c r="B3" t="s">
        <v>484</v>
      </c>
      <c r="C3" t="s">
        <v>196</v>
      </c>
      <c r="D3" t="s">
        <v>223</v>
      </c>
      <c r="E3" t="s">
        <v>242</v>
      </c>
      <c r="F3">
        <f ca="1">VLOOKUP(B3, Orders!A:E, 3, FALSE) + RANDBETWEEN(0,2)</f>
        <v>45977</v>
      </c>
      <c r="G3">
        <f ca="1">F3+VLOOKUP(E3,Routes!A:D,4,FALSE)</f>
        <v>45981</v>
      </c>
      <c r="H3">
        <f t="shared" ref="H3:H66" ca="1" si="0">G3+IF(RAND()&lt;0.3,RANDBETWEEN(1,5),0)</f>
        <v>45981</v>
      </c>
      <c r="I3">
        <f t="shared" ref="I3:I66" ca="1" si="1">H3-G3</f>
        <v>0</v>
      </c>
      <c r="J3" t="str">
        <f t="shared" ref="J3:J66" ca="1" si="2">IF(I3&gt;0,"Late", "On Time")</f>
        <v>On Time</v>
      </c>
      <c r="K3" t="str">
        <f t="shared" ref="K3:K66" ca="1" si="3">IF(I3&lt;=0, "On Time",  IF(I3&lt;=2, "Minor Delay", "Major Delay"))</f>
        <v>On Time</v>
      </c>
    </row>
    <row r="4" spans="1:11" x14ac:dyDescent="0.25">
      <c r="A4" t="s">
        <v>1268</v>
      </c>
      <c r="B4" t="s">
        <v>304</v>
      </c>
      <c r="C4" t="s">
        <v>196</v>
      </c>
      <c r="D4" t="s">
        <v>220</v>
      </c>
      <c r="E4" t="s">
        <v>253</v>
      </c>
      <c r="F4">
        <f ca="1">VLOOKUP(B4, Orders!A:E, 3, FALSE) + RANDBETWEEN(0,2)</f>
        <v>45886</v>
      </c>
      <c r="G4">
        <f ca="1">F4+VLOOKUP(E4,Routes!A:D,4,FALSE)</f>
        <v>45890</v>
      </c>
      <c r="H4">
        <f t="shared" ca="1" si="0"/>
        <v>45890</v>
      </c>
      <c r="I4">
        <f t="shared" ca="1" si="1"/>
        <v>0</v>
      </c>
      <c r="J4" t="str">
        <f t="shared" ca="1" si="2"/>
        <v>On Time</v>
      </c>
      <c r="K4" t="str">
        <f t="shared" ca="1" si="3"/>
        <v>On Time</v>
      </c>
    </row>
    <row r="5" spans="1:11" x14ac:dyDescent="0.25">
      <c r="A5" t="s">
        <v>1269</v>
      </c>
      <c r="B5" t="s">
        <v>498</v>
      </c>
      <c r="C5" t="s">
        <v>196</v>
      </c>
      <c r="D5" t="s">
        <v>223</v>
      </c>
      <c r="E5" t="s">
        <v>242</v>
      </c>
      <c r="F5">
        <f ca="1">VLOOKUP(B5, Orders!A:E, 3, FALSE) + RANDBETWEEN(0,2)</f>
        <v>45809</v>
      </c>
      <c r="G5">
        <f ca="1">F5+VLOOKUP(E5,Routes!A:D,4,FALSE)</f>
        <v>45813</v>
      </c>
      <c r="H5">
        <f t="shared" ca="1" si="0"/>
        <v>45813</v>
      </c>
      <c r="I5">
        <f t="shared" ca="1" si="1"/>
        <v>0</v>
      </c>
      <c r="J5" t="str">
        <f t="shared" ca="1" si="2"/>
        <v>On Time</v>
      </c>
      <c r="K5" t="str">
        <f t="shared" ca="1" si="3"/>
        <v>On Time</v>
      </c>
    </row>
    <row r="6" spans="1:11" x14ac:dyDescent="0.25">
      <c r="A6" t="s">
        <v>1270</v>
      </c>
      <c r="B6" t="s">
        <v>287</v>
      </c>
      <c r="C6" t="s">
        <v>206</v>
      </c>
      <c r="D6" t="s">
        <v>227</v>
      </c>
      <c r="E6" t="s">
        <v>259</v>
      </c>
      <c r="F6">
        <f ca="1">VLOOKUP(B6, Orders!A:E, 3, FALSE) + RANDBETWEEN(0,2)</f>
        <v>45855</v>
      </c>
      <c r="G6">
        <f ca="1">F6+VLOOKUP(E6,Routes!A:D,4,FALSE)</f>
        <v>45857</v>
      </c>
      <c r="H6">
        <f t="shared" ca="1" si="0"/>
        <v>45857</v>
      </c>
      <c r="I6">
        <f t="shared" ca="1" si="1"/>
        <v>0</v>
      </c>
      <c r="J6" t="str">
        <f t="shared" ca="1" si="2"/>
        <v>On Time</v>
      </c>
      <c r="K6" t="str">
        <f t="shared" ca="1" si="3"/>
        <v>On Time</v>
      </c>
    </row>
    <row r="7" spans="1:11" x14ac:dyDescent="0.25">
      <c r="A7" t="s">
        <v>1271</v>
      </c>
      <c r="B7" t="s">
        <v>450</v>
      </c>
      <c r="C7" t="s">
        <v>196</v>
      </c>
      <c r="D7" t="s">
        <v>230</v>
      </c>
      <c r="E7" t="s">
        <v>242</v>
      </c>
      <c r="F7">
        <f ca="1">VLOOKUP(B7, Orders!A:E, 3, FALSE) + RANDBETWEEN(0,2)</f>
        <v>45818</v>
      </c>
      <c r="G7">
        <f ca="1">F7+VLOOKUP(E7,Routes!A:D,4,FALSE)</f>
        <v>45822</v>
      </c>
      <c r="H7">
        <f t="shared" ca="1" si="0"/>
        <v>45822</v>
      </c>
      <c r="I7">
        <f t="shared" ca="1" si="1"/>
        <v>0</v>
      </c>
      <c r="J7" t="str">
        <f t="shared" ca="1" si="2"/>
        <v>On Time</v>
      </c>
      <c r="K7" t="str">
        <f t="shared" ca="1" si="3"/>
        <v>On Time</v>
      </c>
    </row>
    <row r="8" spans="1:11" x14ac:dyDescent="0.25">
      <c r="A8" t="s">
        <v>1272</v>
      </c>
      <c r="B8" t="s">
        <v>480</v>
      </c>
      <c r="C8" t="s">
        <v>203</v>
      </c>
      <c r="D8" t="s">
        <v>220</v>
      </c>
      <c r="E8" t="s">
        <v>255</v>
      </c>
      <c r="F8">
        <f ca="1">VLOOKUP(B8, Orders!A:E, 3, FALSE) + RANDBETWEEN(0,2)</f>
        <v>45918</v>
      </c>
      <c r="G8">
        <f ca="1">F8+VLOOKUP(E8,Routes!A:D,4,FALSE)</f>
        <v>45921</v>
      </c>
      <c r="H8">
        <f t="shared" ca="1" si="0"/>
        <v>45921</v>
      </c>
      <c r="I8">
        <f t="shared" ca="1" si="1"/>
        <v>0</v>
      </c>
      <c r="J8" t="str">
        <f t="shared" ca="1" si="2"/>
        <v>On Time</v>
      </c>
      <c r="K8" t="str">
        <f t="shared" ca="1" si="3"/>
        <v>On Time</v>
      </c>
    </row>
    <row r="9" spans="1:11" x14ac:dyDescent="0.25">
      <c r="A9" t="s">
        <v>1273</v>
      </c>
      <c r="B9" t="s">
        <v>465</v>
      </c>
      <c r="C9" t="s">
        <v>192</v>
      </c>
      <c r="D9" t="s">
        <v>227</v>
      </c>
      <c r="E9" t="s">
        <v>253</v>
      </c>
      <c r="F9">
        <f ca="1">VLOOKUP(B9, Orders!A:E, 3, FALSE) + RANDBETWEEN(0,2)</f>
        <v>45912</v>
      </c>
      <c r="G9">
        <f ca="1">F9+VLOOKUP(E9,Routes!A:D,4,FALSE)</f>
        <v>45916</v>
      </c>
      <c r="H9">
        <f t="shared" ca="1" si="0"/>
        <v>45916</v>
      </c>
      <c r="I9">
        <f t="shared" ca="1" si="1"/>
        <v>0</v>
      </c>
      <c r="J9" t="str">
        <f t="shared" ca="1" si="2"/>
        <v>On Time</v>
      </c>
      <c r="K9" t="str">
        <f t="shared" ca="1" si="3"/>
        <v>On Time</v>
      </c>
    </row>
    <row r="10" spans="1:11" x14ac:dyDescent="0.25">
      <c r="A10" t="s">
        <v>1274</v>
      </c>
      <c r="B10" t="s">
        <v>465</v>
      </c>
      <c r="C10" t="s">
        <v>196</v>
      </c>
      <c r="D10" t="s">
        <v>213</v>
      </c>
      <c r="E10" t="s">
        <v>259</v>
      </c>
      <c r="F10">
        <f ca="1">VLOOKUP(B10, Orders!A:E, 3, FALSE) + RANDBETWEEN(0,2)</f>
        <v>45913</v>
      </c>
      <c r="G10">
        <f ca="1">F10+VLOOKUP(E10,Routes!A:D,4,FALSE)</f>
        <v>45915</v>
      </c>
      <c r="H10">
        <f t="shared" ca="1" si="0"/>
        <v>45915</v>
      </c>
      <c r="I10">
        <f t="shared" ca="1" si="1"/>
        <v>0</v>
      </c>
      <c r="J10" t="str">
        <f t="shared" ca="1" si="2"/>
        <v>On Time</v>
      </c>
      <c r="K10" t="str">
        <f t="shared" ca="1" si="3"/>
        <v>On Time</v>
      </c>
    </row>
    <row r="11" spans="1:11" x14ac:dyDescent="0.25">
      <c r="A11" t="s">
        <v>1275</v>
      </c>
      <c r="B11" t="s">
        <v>496</v>
      </c>
      <c r="C11" t="s">
        <v>196</v>
      </c>
      <c r="D11" t="s">
        <v>213</v>
      </c>
      <c r="E11" t="s">
        <v>255</v>
      </c>
      <c r="F11">
        <f ca="1">VLOOKUP(B11, Orders!A:E, 3, FALSE) + RANDBETWEEN(0,2)</f>
        <v>45908</v>
      </c>
      <c r="G11">
        <f ca="1">F11+VLOOKUP(E11,Routes!A:D,4,FALSE)</f>
        <v>45911</v>
      </c>
      <c r="H11">
        <f t="shared" ca="1" si="0"/>
        <v>45911</v>
      </c>
      <c r="I11">
        <f t="shared" ca="1" si="1"/>
        <v>0</v>
      </c>
      <c r="J11" t="str">
        <f t="shared" ca="1" si="2"/>
        <v>On Time</v>
      </c>
      <c r="K11" t="str">
        <f t="shared" ca="1" si="3"/>
        <v>On Time</v>
      </c>
    </row>
    <row r="12" spans="1:11" x14ac:dyDescent="0.25">
      <c r="A12" t="s">
        <v>1276</v>
      </c>
      <c r="B12" t="s">
        <v>395</v>
      </c>
      <c r="C12" t="s">
        <v>206</v>
      </c>
      <c r="D12" t="s">
        <v>223</v>
      </c>
      <c r="E12" t="s">
        <v>253</v>
      </c>
      <c r="F12">
        <f ca="1">VLOOKUP(B12, Orders!A:E, 3, FALSE) + RANDBETWEEN(0,2)</f>
        <v>45888</v>
      </c>
      <c r="G12">
        <f ca="1">F12+VLOOKUP(E12,Routes!A:D,4,FALSE)</f>
        <v>45892</v>
      </c>
      <c r="H12">
        <f t="shared" ca="1" si="0"/>
        <v>45892</v>
      </c>
      <c r="I12">
        <f t="shared" ca="1" si="1"/>
        <v>0</v>
      </c>
      <c r="J12" t="str">
        <f t="shared" ca="1" si="2"/>
        <v>On Time</v>
      </c>
      <c r="K12" t="str">
        <f t="shared" ca="1" si="3"/>
        <v>On Time</v>
      </c>
    </row>
    <row r="13" spans="1:11" x14ac:dyDescent="0.25">
      <c r="A13" t="s">
        <v>1277</v>
      </c>
      <c r="B13" t="s">
        <v>360</v>
      </c>
      <c r="C13" t="s">
        <v>200</v>
      </c>
      <c r="D13" t="s">
        <v>220</v>
      </c>
      <c r="E13" t="s">
        <v>244</v>
      </c>
      <c r="F13">
        <f ca="1">VLOOKUP(B13, Orders!A:E, 3, FALSE) + RANDBETWEEN(0,2)</f>
        <v>45901</v>
      </c>
      <c r="G13">
        <f ca="1">F13+VLOOKUP(E13,Routes!A:D,4,FALSE)</f>
        <v>45904</v>
      </c>
      <c r="H13">
        <f t="shared" ca="1" si="0"/>
        <v>45904</v>
      </c>
      <c r="I13">
        <f t="shared" ca="1" si="1"/>
        <v>0</v>
      </c>
      <c r="J13" t="str">
        <f t="shared" ca="1" si="2"/>
        <v>On Time</v>
      </c>
      <c r="K13" t="str">
        <f t="shared" ca="1" si="3"/>
        <v>On Time</v>
      </c>
    </row>
    <row r="14" spans="1:11" x14ac:dyDescent="0.25">
      <c r="A14" t="s">
        <v>1278</v>
      </c>
      <c r="B14" t="s">
        <v>402</v>
      </c>
      <c r="C14" t="s">
        <v>196</v>
      </c>
      <c r="D14" t="s">
        <v>213</v>
      </c>
      <c r="E14" t="s">
        <v>251</v>
      </c>
      <c r="F14">
        <f ca="1">VLOOKUP(B14, Orders!A:E, 3, FALSE) + RANDBETWEEN(0,2)</f>
        <v>45883</v>
      </c>
      <c r="G14">
        <f ca="1">F14+VLOOKUP(E14,Routes!A:D,4,FALSE)</f>
        <v>45887</v>
      </c>
      <c r="H14">
        <f t="shared" ca="1" si="0"/>
        <v>45887</v>
      </c>
      <c r="I14">
        <f t="shared" ca="1" si="1"/>
        <v>0</v>
      </c>
      <c r="J14" t="str">
        <f t="shared" ca="1" si="2"/>
        <v>On Time</v>
      </c>
      <c r="K14" t="str">
        <f t="shared" ca="1" si="3"/>
        <v>On Time</v>
      </c>
    </row>
    <row r="15" spans="1:11" x14ac:dyDescent="0.25">
      <c r="A15" t="s">
        <v>1279</v>
      </c>
      <c r="B15" t="s">
        <v>424</v>
      </c>
      <c r="C15" t="s">
        <v>196</v>
      </c>
      <c r="D15" t="s">
        <v>227</v>
      </c>
      <c r="E15" t="s">
        <v>253</v>
      </c>
      <c r="F15">
        <f ca="1">VLOOKUP(B15, Orders!A:E, 3, FALSE) + RANDBETWEEN(0,2)</f>
        <v>45895</v>
      </c>
      <c r="G15">
        <f ca="1">F15+VLOOKUP(E15,Routes!A:D,4,FALSE)</f>
        <v>45899</v>
      </c>
      <c r="H15">
        <f t="shared" ca="1" si="0"/>
        <v>45899</v>
      </c>
      <c r="I15">
        <f t="shared" ca="1" si="1"/>
        <v>0</v>
      </c>
      <c r="J15" t="str">
        <f t="shared" ca="1" si="2"/>
        <v>On Time</v>
      </c>
      <c r="K15" t="str">
        <f t="shared" ca="1" si="3"/>
        <v>On Time</v>
      </c>
    </row>
    <row r="16" spans="1:11" x14ac:dyDescent="0.25">
      <c r="A16" t="s">
        <v>1280</v>
      </c>
      <c r="B16" t="s">
        <v>318</v>
      </c>
      <c r="C16" t="s">
        <v>203</v>
      </c>
      <c r="D16" t="s">
        <v>227</v>
      </c>
      <c r="E16" t="s">
        <v>240</v>
      </c>
      <c r="F16">
        <f ca="1">VLOOKUP(B16, Orders!A:E, 3, FALSE) + RANDBETWEEN(0,2)</f>
        <v>45836</v>
      </c>
      <c r="G16">
        <f ca="1">F16+VLOOKUP(E16,Routes!A:D,4,FALSE)</f>
        <v>45840</v>
      </c>
      <c r="H16">
        <f t="shared" ca="1" si="0"/>
        <v>45841</v>
      </c>
      <c r="I16">
        <f t="shared" ca="1" si="1"/>
        <v>1</v>
      </c>
      <c r="J16" t="str">
        <f t="shared" ca="1" si="2"/>
        <v>Late</v>
      </c>
      <c r="K16" t="str">
        <f t="shared" ca="1" si="3"/>
        <v>Minor Delay</v>
      </c>
    </row>
    <row r="17" spans="1:11" x14ac:dyDescent="0.25">
      <c r="A17" t="s">
        <v>1281</v>
      </c>
      <c r="B17" t="s">
        <v>265</v>
      </c>
      <c r="C17" t="s">
        <v>200</v>
      </c>
      <c r="D17" t="s">
        <v>227</v>
      </c>
      <c r="E17" t="s">
        <v>255</v>
      </c>
      <c r="F17">
        <f ca="1">VLOOKUP(B17, Orders!A:E, 3, FALSE) + RANDBETWEEN(0,2)</f>
        <v>45830</v>
      </c>
      <c r="G17">
        <f ca="1">F17+VLOOKUP(E17,Routes!A:D,4,FALSE)</f>
        <v>45833</v>
      </c>
      <c r="H17">
        <f t="shared" ca="1" si="0"/>
        <v>45833</v>
      </c>
      <c r="I17">
        <f t="shared" ca="1" si="1"/>
        <v>0</v>
      </c>
      <c r="J17" t="str">
        <f t="shared" ca="1" si="2"/>
        <v>On Time</v>
      </c>
      <c r="K17" t="str">
        <f t="shared" ca="1" si="3"/>
        <v>On Time</v>
      </c>
    </row>
    <row r="18" spans="1:11" x14ac:dyDescent="0.25">
      <c r="A18" t="s">
        <v>1282</v>
      </c>
      <c r="B18" t="s">
        <v>487</v>
      </c>
      <c r="C18" t="s">
        <v>203</v>
      </c>
      <c r="D18" t="s">
        <v>223</v>
      </c>
      <c r="E18" t="s">
        <v>255</v>
      </c>
      <c r="F18">
        <f ca="1">VLOOKUP(B18, Orders!A:E, 3, FALSE) + RANDBETWEEN(0,2)</f>
        <v>45942</v>
      </c>
      <c r="G18">
        <f ca="1">F18+VLOOKUP(E18,Routes!A:D,4,FALSE)</f>
        <v>45945</v>
      </c>
      <c r="H18">
        <f t="shared" ca="1" si="0"/>
        <v>45945</v>
      </c>
      <c r="I18">
        <f t="shared" ca="1" si="1"/>
        <v>0</v>
      </c>
      <c r="J18" t="str">
        <f t="shared" ca="1" si="2"/>
        <v>On Time</v>
      </c>
      <c r="K18" t="str">
        <f t="shared" ca="1" si="3"/>
        <v>On Time</v>
      </c>
    </row>
    <row r="19" spans="1:11" x14ac:dyDescent="0.25">
      <c r="A19" t="s">
        <v>1283</v>
      </c>
      <c r="B19" t="s">
        <v>400</v>
      </c>
      <c r="C19" t="s">
        <v>203</v>
      </c>
      <c r="D19" t="s">
        <v>213</v>
      </c>
      <c r="E19" t="s">
        <v>244</v>
      </c>
      <c r="F19">
        <f ca="1">VLOOKUP(B19, Orders!A:E, 3, FALSE) + RANDBETWEEN(0,2)</f>
        <v>45802</v>
      </c>
      <c r="G19">
        <f ca="1">F19+VLOOKUP(E19,Routes!A:D,4,FALSE)</f>
        <v>45805</v>
      </c>
      <c r="H19">
        <f t="shared" ca="1" si="0"/>
        <v>45807</v>
      </c>
      <c r="I19">
        <f t="shared" ca="1" si="1"/>
        <v>2</v>
      </c>
      <c r="J19" t="str">
        <f t="shared" ca="1" si="2"/>
        <v>Late</v>
      </c>
      <c r="K19" t="str">
        <f t="shared" ca="1" si="3"/>
        <v>Minor Delay</v>
      </c>
    </row>
    <row r="20" spans="1:11" x14ac:dyDescent="0.25">
      <c r="A20" t="s">
        <v>1284</v>
      </c>
      <c r="B20" t="s">
        <v>478</v>
      </c>
      <c r="C20" t="s">
        <v>196</v>
      </c>
      <c r="D20" t="s">
        <v>223</v>
      </c>
      <c r="E20" t="s">
        <v>249</v>
      </c>
      <c r="F20">
        <f ca="1">VLOOKUP(B20, Orders!A:E, 3, FALSE) + RANDBETWEEN(0,2)</f>
        <v>45978</v>
      </c>
      <c r="G20">
        <f ca="1">F20+VLOOKUP(E20,Routes!A:D,4,FALSE)</f>
        <v>45980</v>
      </c>
      <c r="H20">
        <f t="shared" ca="1" si="0"/>
        <v>45980</v>
      </c>
      <c r="I20">
        <f t="shared" ca="1" si="1"/>
        <v>0</v>
      </c>
      <c r="J20" t="str">
        <f t="shared" ca="1" si="2"/>
        <v>On Time</v>
      </c>
      <c r="K20" t="str">
        <f t="shared" ca="1" si="3"/>
        <v>On Time</v>
      </c>
    </row>
    <row r="21" spans="1:11" x14ac:dyDescent="0.25">
      <c r="A21" t="s">
        <v>1285</v>
      </c>
      <c r="B21" t="s">
        <v>434</v>
      </c>
      <c r="C21" t="s">
        <v>192</v>
      </c>
      <c r="D21" t="s">
        <v>217</v>
      </c>
      <c r="E21" t="s">
        <v>251</v>
      </c>
      <c r="F21">
        <f ca="1">VLOOKUP(B21, Orders!A:E, 3, FALSE) + RANDBETWEEN(0,2)</f>
        <v>45892</v>
      </c>
      <c r="G21">
        <f ca="1">F21+VLOOKUP(E21,Routes!A:D,4,FALSE)</f>
        <v>45896</v>
      </c>
      <c r="H21">
        <f t="shared" ca="1" si="0"/>
        <v>45896</v>
      </c>
      <c r="I21">
        <f t="shared" ca="1" si="1"/>
        <v>0</v>
      </c>
      <c r="J21" t="str">
        <f t="shared" ca="1" si="2"/>
        <v>On Time</v>
      </c>
      <c r="K21" t="str">
        <f t="shared" ca="1" si="3"/>
        <v>On Time</v>
      </c>
    </row>
    <row r="22" spans="1:11" x14ac:dyDescent="0.25">
      <c r="A22" t="s">
        <v>1286</v>
      </c>
      <c r="B22" t="s">
        <v>455</v>
      </c>
      <c r="C22" t="s">
        <v>192</v>
      </c>
      <c r="D22" t="s">
        <v>223</v>
      </c>
      <c r="E22" t="s">
        <v>257</v>
      </c>
      <c r="F22">
        <f ca="1">VLOOKUP(B22, Orders!A:E, 3, FALSE) + RANDBETWEEN(0,2)</f>
        <v>45914</v>
      </c>
      <c r="G22">
        <f ca="1">F22+VLOOKUP(E22,Routes!A:D,4,FALSE)</f>
        <v>45917</v>
      </c>
      <c r="H22">
        <f t="shared" ca="1" si="0"/>
        <v>45917</v>
      </c>
      <c r="I22">
        <f t="shared" ca="1" si="1"/>
        <v>0</v>
      </c>
      <c r="J22" t="str">
        <f t="shared" ca="1" si="2"/>
        <v>On Time</v>
      </c>
      <c r="K22" t="str">
        <f t="shared" ca="1" si="3"/>
        <v>On Time</v>
      </c>
    </row>
    <row r="23" spans="1:11" x14ac:dyDescent="0.25">
      <c r="A23" t="s">
        <v>1287</v>
      </c>
      <c r="B23" t="s">
        <v>382</v>
      </c>
      <c r="C23" t="s">
        <v>200</v>
      </c>
      <c r="D23" t="s">
        <v>220</v>
      </c>
      <c r="E23" t="s">
        <v>249</v>
      </c>
      <c r="F23">
        <f ca="1">VLOOKUP(B23, Orders!A:E, 3, FALSE) + RANDBETWEEN(0,2)</f>
        <v>45945</v>
      </c>
      <c r="G23">
        <f ca="1">F23+VLOOKUP(E23,Routes!A:D,4,FALSE)</f>
        <v>45947</v>
      </c>
      <c r="H23">
        <f t="shared" ca="1" si="0"/>
        <v>45950</v>
      </c>
      <c r="I23">
        <f t="shared" ca="1" si="1"/>
        <v>3</v>
      </c>
      <c r="J23" t="str">
        <f t="shared" ca="1" si="2"/>
        <v>Late</v>
      </c>
      <c r="K23" t="str">
        <f t="shared" ca="1" si="3"/>
        <v>Major Delay</v>
      </c>
    </row>
    <row r="24" spans="1:11" x14ac:dyDescent="0.25">
      <c r="A24" t="s">
        <v>1288</v>
      </c>
      <c r="B24" t="s">
        <v>278</v>
      </c>
      <c r="C24" t="s">
        <v>196</v>
      </c>
      <c r="D24" t="s">
        <v>227</v>
      </c>
      <c r="E24" t="s">
        <v>237</v>
      </c>
      <c r="F24">
        <f ca="1">VLOOKUP(B24, Orders!A:E, 3, FALSE) + RANDBETWEEN(0,2)</f>
        <v>45970</v>
      </c>
      <c r="G24">
        <f ca="1">F24+VLOOKUP(E24,Routes!A:D,4,FALSE)</f>
        <v>45972</v>
      </c>
      <c r="H24">
        <f t="shared" ca="1" si="0"/>
        <v>45972</v>
      </c>
      <c r="I24">
        <f t="shared" ca="1" si="1"/>
        <v>0</v>
      </c>
      <c r="J24" t="str">
        <f t="shared" ca="1" si="2"/>
        <v>On Time</v>
      </c>
      <c r="K24" t="str">
        <f t="shared" ca="1" si="3"/>
        <v>On Time</v>
      </c>
    </row>
    <row r="25" spans="1:11" x14ac:dyDescent="0.25">
      <c r="A25" t="s">
        <v>1289</v>
      </c>
      <c r="B25" t="s">
        <v>480</v>
      </c>
      <c r="C25" t="s">
        <v>206</v>
      </c>
      <c r="D25" t="s">
        <v>223</v>
      </c>
      <c r="E25" t="s">
        <v>249</v>
      </c>
      <c r="F25">
        <f ca="1">VLOOKUP(B25, Orders!A:E, 3, FALSE) + RANDBETWEEN(0,2)</f>
        <v>45916</v>
      </c>
      <c r="G25">
        <f ca="1">F25+VLOOKUP(E25,Routes!A:D,4,FALSE)</f>
        <v>45918</v>
      </c>
      <c r="H25">
        <f t="shared" ca="1" si="0"/>
        <v>45922</v>
      </c>
      <c r="I25">
        <f t="shared" ca="1" si="1"/>
        <v>4</v>
      </c>
      <c r="J25" t="str">
        <f t="shared" ca="1" si="2"/>
        <v>Late</v>
      </c>
      <c r="K25" t="str">
        <f t="shared" ca="1" si="3"/>
        <v>Major Delay</v>
      </c>
    </row>
    <row r="26" spans="1:11" x14ac:dyDescent="0.25">
      <c r="A26" t="s">
        <v>1290</v>
      </c>
      <c r="B26" t="s">
        <v>414</v>
      </c>
      <c r="C26" t="s">
        <v>196</v>
      </c>
      <c r="D26" t="s">
        <v>227</v>
      </c>
      <c r="E26" t="s">
        <v>246</v>
      </c>
      <c r="F26">
        <f ca="1">VLOOKUP(B26, Orders!A:E, 3, FALSE) + RANDBETWEEN(0,2)</f>
        <v>46005</v>
      </c>
      <c r="G26">
        <f ca="1">F26+VLOOKUP(E26,Routes!A:D,4,FALSE)</f>
        <v>46008</v>
      </c>
      <c r="H26">
        <f t="shared" ca="1" si="0"/>
        <v>46011</v>
      </c>
      <c r="I26">
        <f t="shared" ca="1" si="1"/>
        <v>3</v>
      </c>
      <c r="J26" t="str">
        <f t="shared" ca="1" si="2"/>
        <v>Late</v>
      </c>
      <c r="K26" t="str">
        <f t="shared" ca="1" si="3"/>
        <v>Major Delay</v>
      </c>
    </row>
    <row r="27" spans="1:11" x14ac:dyDescent="0.25">
      <c r="A27" t="s">
        <v>1291</v>
      </c>
      <c r="B27" t="s">
        <v>508</v>
      </c>
      <c r="C27" t="s">
        <v>192</v>
      </c>
      <c r="D27" t="s">
        <v>223</v>
      </c>
      <c r="E27" t="s">
        <v>251</v>
      </c>
      <c r="F27">
        <f ca="1">VLOOKUP(B27, Orders!A:E, 3, FALSE) + RANDBETWEEN(0,2)</f>
        <v>45908</v>
      </c>
      <c r="G27">
        <f ca="1">F27+VLOOKUP(E27,Routes!A:D,4,FALSE)</f>
        <v>45912</v>
      </c>
      <c r="H27">
        <f t="shared" ca="1" si="0"/>
        <v>45912</v>
      </c>
      <c r="I27">
        <f t="shared" ca="1" si="1"/>
        <v>0</v>
      </c>
      <c r="J27" t="str">
        <f t="shared" ca="1" si="2"/>
        <v>On Time</v>
      </c>
      <c r="K27" t="str">
        <f t="shared" ca="1" si="3"/>
        <v>On Time</v>
      </c>
    </row>
    <row r="28" spans="1:11" x14ac:dyDescent="0.25">
      <c r="A28" t="s">
        <v>1292</v>
      </c>
      <c r="B28" t="s">
        <v>403</v>
      </c>
      <c r="C28" t="s">
        <v>203</v>
      </c>
      <c r="D28" t="s">
        <v>220</v>
      </c>
      <c r="E28" t="s">
        <v>240</v>
      </c>
      <c r="F28">
        <f ca="1">VLOOKUP(B28, Orders!A:E, 3, FALSE) + RANDBETWEEN(0,2)</f>
        <v>45904</v>
      </c>
      <c r="G28">
        <f ca="1">F28+VLOOKUP(E28,Routes!A:D,4,FALSE)</f>
        <v>45908</v>
      </c>
      <c r="H28">
        <f t="shared" ca="1" si="0"/>
        <v>45908</v>
      </c>
      <c r="I28">
        <f t="shared" ca="1" si="1"/>
        <v>0</v>
      </c>
      <c r="J28" t="str">
        <f t="shared" ca="1" si="2"/>
        <v>On Time</v>
      </c>
      <c r="K28" t="str">
        <f t="shared" ca="1" si="3"/>
        <v>On Time</v>
      </c>
    </row>
    <row r="29" spans="1:11" x14ac:dyDescent="0.25">
      <c r="A29" t="s">
        <v>1293</v>
      </c>
      <c r="B29" t="s">
        <v>381</v>
      </c>
      <c r="C29" t="s">
        <v>196</v>
      </c>
      <c r="D29" t="s">
        <v>227</v>
      </c>
      <c r="E29" t="s">
        <v>251</v>
      </c>
      <c r="F29">
        <f ca="1">VLOOKUP(B29, Orders!A:E, 3, FALSE) + RANDBETWEEN(0,2)</f>
        <v>45878</v>
      </c>
      <c r="G29">
        <f ca="1">F29+VLOOKUP(E29,Routes!A:D,4,FALSE)</f>
        <v>45882</v>
      </c>
      <c r="H29">
        <f t="shared" ca="1" si="0"/>
        <v>45882</v>
      </c>
      <c r="I29">
        <f t="shared" ca="1" si="1"/>
        <v>0</v>
      </c>
      <c r="J29" t="str">
        <f t="shared" ca="1" si="2"/>
        <v>On Time</v>
      </c>
      <c r="K29" t="str">
        <f t="shared" ca="1" si="3"/>
        <v>On Time</v>
      </c>
    </row>
    <row r="30" spans="1:11" x14ac:dyDescent="0.25">
      <c r="A30" t="s">
        <v>1294</v>
      </c>
      <c r="B30" t="s">
        <v>277</v>
      </c>
      <c r="C30" t="s">
        <v>206</v>
      </c>
      <c r="D30" t="s">
        <v>223</v>
      </c>
      <c r="E30" t="s">
        <v>242</v>
      </c>
      <c r="F30">
        <f ca="1">VLOOKUP(B30, Orders!A:E, 3, FALSE) + RANDBETWEEN(0,2)</f>
        <v>46012</v>
      </c>
      <c r="G30">
        <f ca="1">F30+VLOOKUP(E30,Routes!A:D,4,FALSE)</f>
        <v>46016</v>
      </c>
      <c r="H30">
        <f t="shared" ca="1" si="0"/>
        <v>46016</v>
      </c>
      <c r="I30">
        <f t="shared" ca="1" si="1"/>
        <v>0</v>
      </c>
      <c r="J30" t="str">
        <f t="shared" ca="1" si="2"/>
        <v>On Time</v>
      </c>
      <c r="K30" t="str">
        <f t="shared" ca="1" si="3"/>
        <v>On Time</v>
      </c>
    </row>
    <row r="31" spans="1:11" x14ac:dyDescent="0.25">
      <c r="A31" t="s">
        <v>1295</v>
      </c>
      <c r="B31" t="s">
        <v>466</v>
      </c>
      <c r="C31" t="s">
        <v>196</v>
      </c>
      <c r="D31" t="s">
        <v>213</v>
      </c>
      <c r="E31" t="s">
        <v>246</v>
      </c>
      <c r="F31">
        <f ca="1">VLOOKUP(B31, Orders!A:E, 3, FALSE) + RANDBETWEEN(0,2)</f>
        <v>46016</v>
      </c>
      <c r="G31">
        <f ca="1">F31+VLOOKUP(E31,Routes!A:D,4,FALSE)</f>
        <v>46019</v>
      </c>
      <c r="H31">
        <f t="shared" ca="1" si="0"/>
        <v>46019</v>
      </c>
      <c r="I31">
        <f t="shared" ca="1" si="1"/>
        <v>0</v>
      </c>
      <c r="J31" t="str">
        <f t="shared" ca="1" si="2"/>
        <v>On Time</v>
      </c>
      <c r="K31" t="str">
        <f t="shared" ca="1" si="3"/>
        <v>On Time</v>
      </c>
    </row>
    <row r="32" spans="1:11" x14ac:dyDescent="0.25">
      <c r="A32" t="s">
        <v>1296</v>
      </c>
      <c r="B32" t="s">
        <v>404</v>
      </c>
      <c r="C32" t="s">
        <v>200</v>
      </c>
      <c r="D32" t="s">
        <v>223</v>
      </c>
      <c r="E32" t="s">
        <v>240</v>
      </c>
      <c r="F32">
        <f ca="1">VLOOKUP(B32, Orders!A:E, 3, FALSE) + RANDBETWEEN(0,2)</f>
        <v>45942</v>
      </c>
      <c r="G32">
        <f ca="1">F32+VLOOKUP(E32,Routes!A:D,4,FALSE)</f>
        <v>45946</v>
      </c>
      <c r="H32">
        <f t="shared" ca="1" si="0"/>
        <v>45946</v>
      </c>
      <c r="I32">
        <f t="shared" ca="1" si="1"/>
        <v>0</v>
      </c>
      <c r="J32" t="str">
        <f t="shared" ca="1" si="2"/>
        <v>On Time</v>
      </c>
      <c r="K32" t="str">
        <f t="shared" ca="1" si="3"/>
        <v>On Time</v>
      </c>
    </row>
    <row r="33" spans="1:11" x14ac:dyDescent="0.25">
      <c r="A33" t="s">
        <v>1297</v>
      </c>
      <c r="B33" t="s">
        <v>301</v>
      </c>
      <c r="C33" t="s">
        <v>196</v>
      </c>
      <c r="D33" t="s">
        <v>213</v>
      </c>
      <c r="E33" t="s">
        <v>244</v>
      </c>
      <c r="F33">
        <f ca="1">VLOOKUP(B33, Orders!A:E, 3, FALSE) + RANDBETWEEN(0,2)</f>
        <v>46040</v>
      </c>
      <c r="G33">
        <f ca="1">F33+VLOOKUP(E33,Routes!A:D,4,FALSE)</f>
        <v>46043</v>
      </c>
      <c r="H33">
        <f t="shared" ca="1" si="0"/>
        <v>46043</v>
      </c>
      <c r="I33">
        <f t="shared" ca="1" si="1"/>
        <v>0</v>
      </c>
      <c r="J33" t="str">
        <f t="shared" ca="1" si="2"/>
        <v>On Time</v>
      </c>
      <c r="K33" t="str">
        <f t="shared" ca="1" si="3"/>
        <v>On Time</v>
      </c>
    </row>
    <row r="34" spans="1:11" x14ac:dyDescent="0.25">
      <c r="A34" t="s">
        <v>1298</v>
      </c>
      <c r="B34" t="s">
        <v>395</v>
      </c>
      <c r="C34" t="s">
        <v>192</v>
      </c>
      <c r="D34" t="s">
        <v>220</v>
      </c>
      <c r="E34" t="s">
        <v>259</v>
      </c>
      <c r="F34">
        <f ca="1">VLOOKUP(B34, Orders!A:E, 3, FALSE) + RANDBETWEEN(0,2)</f>
        <v>45888</v>
      </c>
      <c r="G34">
        <f ca="1">F34+VLOOKUP(E34,Routes!A:D,4,FALSE)</f>
        <v>45890</v>
      </c>
      <c r="H34">
        <f t="shared" ca="1" si="0"/>
        <v>45893</v>
      </c>
      <c r="I34">
        <f t="shared" ca="1" si="1"/>
        <v>3</v>
      </c>
      <c r="J34" t="str">
        <f t="shared" ca="1" si="2"/>
        <v>Late</v>
      </c>
      <c r="K34" t="str">
        <f t="shared" ca="1" si="3"/>
        <v>Major Delay</v>
      </c>
    </row>
    <row r="35" spans="1:11" x14ac:dyDescent="0.25">
      <c r="A35" t="s">
        <v>1299</v>
      </c>
      <c r="B35" t="s">
        <v>378</v>
      </c>
      <c r="C35" t="s">
        <v>196</v>
      </c>
      <c r="D35" t="s">
        <v>223</v>
      </c>
      <c r="E35" t="s">
        <v>244</v>
      </c>
      <c r="F35">
        <f ca="1">VLOOKUP(B35, Orders!A:E, 3, FALSE) + RANDBETWEEN(0,2)</f>
        <v>45835</v>
      </c>
      <c r="G35">
        <f ca="1">F35+VLOOKUP(E35,Routes!A:D,4,FALSE)</f>
        <v>45838</v>
      </c>
      <c r="H35">
        <f t="shared" ca="1" si="0"/>
        <v>45838</v>
      </c>
      <c r="I35">
        <f t="shared" ca="1" si="1"/>
        <v>0</v>
      </c>
      <c r="J35" t="str">
        <f t="shared" ca="1" si="2"/>
        <v>On Time</v>
      </c>
      <c r="K35" t="str">
        <f t="shared" ca="1" si="3"/>
        <v>On Time</v>
      </c>
    </row>
    <row r="36" spans="1:11" x14ac:dyDescent="0.25">
      <c r="A36" t="s">
        <v>1300</v>
      </c>
      <c r="B36" t="s">
        <v>477</v>
      </c>
      <c r="C36" t="s">
        <v>206</v>
      </c>
      <c r="D36" t="s">
        <v>230</v>
      </c>
      <c r="E36" t="s">
        <v>247</v>
      </c>
      <c r="F36">
        <f ca="1">VLOOKUP(B36, Orders!A:E, 3, FALSE) + RANDBETWEEN(0,2)</f>
        <v>46052</v>
      </c>
      <c r="G36">
        <f ca="1">F36+VLOOKUP(E36,Routes!A:D,4,FALSE)</f>
        <v>46056</v>
      </c>
      <c r="H36">
        <f t="shared" ca="1" si="0"/>
        <v>46056</v>
      </c>
      <c r="I36">
        <f t="shared" ca="1" si="1"/>
        <v>0</v>
      </c>
      <c r="J36" t="str">
        <f t="shared" ca="1" si="2"/>
        <v>On Time</v>
      </c>
      <c r="K36" t="str">
        <f t="shared" ca="1" si="3"/>
        <v>On Time</v>
      </c>
    </row>
    <row r="37" spans="1:11" x14ac:dyDescent="0.25">
      <c r="A37" t="s">
        <v>1301</v>
      </c>
      <c r="B37" t="s">
        <v>422</v>
      </c>
      <c r="C37" t="s">
        <v>200</v>
      </c>
      <c r="D37" t="s">
        <v>223</v>
      </c>
      <c r="E37" t="s">
        <v>244</v>
      </c>
      <c r="F37">
        <f ca="1">VLOOKUP(B37, Orders!A:E, 3, FALSE) + RANDBETWEEN(0,2)</f>
        <v>46001</v>
      </c>
      <c r="G37">
        <f ca="1">F37+VLOOKUP(E37,Routes!A:D,4,FALSE)</f>
        <v>46004</v>
      </c>
      <c r="H37">
        <f t="shared" ca="1" si="0"/>
        <v>46004</v>
      </c>
      <c r="I37">
        <f t="shared" ca="1" si="1"/>
        <v>0</v>
      </c>
      <c r="J37" t="str">
        <f t="shared" ca="1" si="2"/>
        <v>On Time</v>
      </c>
      <c r="K37" t="str">
        <f t="shared" ca="1" si="3"/>
        <v>On Time</v>
      </c>
    </row>
    <row r="38" spans="1:11" x14ac:dyDescent="0.25">
      <c r="A38" t="s">
        <v>1302</v>
      </c>
      <c r="B38" t="s">
        <v>282</v>
      </c>
      <c r="C38" t="s">
        <v>200</v>
      </c>
      <c r="D38" t="s">
        <v>220</v>
      </c>
      <c r="E38" t="s">
        <v>259</v>
      </c>
      <c r="F38">
        <f ca="1">VLOOKUP(B38, Orders!A:E, 3, FALSE) + RANDBETWEEN(0,2)</f>
        <v>46048</v>
      </c>
      <c r="G38">
        <f ca="1">F38+VLOOKUP(E38,Routes!A:D,4,FALSE)</f>
        <v>46050</v>
      </c>
      <c r="H38">
        <f t="shared" ca="1" si="0"/>
        <v>46051</v>
      </c>
      <c r="I38">
        <f t="shared" ca="1" si="1"/>
        <v>1</v>
      </c>
      <c r="J38" t="str">
        <f t="shared" ca="1" si="2"/>
        <v>Late</v>
      </c>
      <c r="K38" t="str">
        <f t="shared" ca="1" si="3"/>
        <v>Minor Delay</v>
      </c>
    </row>
    <row r="39" spans="1:11" x14ac:dyDescent="0.25">
      <c r="A39" t="s">
        <v>1303</v>
      </c>
      <c r="B39" t="s">
        <v>317</v>
      </c>
      <c r="C39" t="s">
        <v>203</v>
      </c>
      <c r="D39" t="s">
        <v>230</v>
      </c>
      <c r="E39" t="s">
        <v>246</v>
      </c>
      <c r="F39">
        <f ca="1">VLOOKUP(B39, Orders!A:E, 3, FALSE) + RANDBETWEEN(0,2)</f>
        <v>46013</v>
      </c>
      <c r="G39">
        <f ca="1">F39+VLOOKUP(E39,Routes!A:D,4,FALSE)</f>
        <v>46016</v>
      </c>
      <c r="H39">
        <f t="shared" ca="1" si="0"/>
        <v>46020</v>
      </c>
      <c r="I39">
        <f t="shared" ca="1" si="1"/>
        <v>4</v>
      </c>
      <c r="J39" t="str">
        <f t="shared" ca="1" si="2"/>
        <v>Late</v>
      </c>
      <c r="K39" t="str">
        <f t="shared" ca="1" si="3"/>
        <v>Major Delay</v>
      </c>
    </row>
    <row r="40" spans="1:11" x14ac:dyDescent="0.25">
      <c r="A40" t="s">
        <v>1304</v>
      </c>
      <c r="B40" t="s">
        <v>479</v>
      </c>
      <c r="C40" t="s">
        <v>203</v>
      </c>
      <c r="D40" t="s">
        <v>230</v>
      </c>
      <c r="E40" t="s">
        <v>247</v>
      </c>
      <c r="F40">
        <f ca="1">VLOOKUP(B40, Orders!A:E, 3, FALSE) + RANDBETWEEN(0,2)</f>
        <v>45881</v>
      </c>
      <c r="G40">
        <f ca="1">F40+VLOOKUP(E40,Routes!A:D,4,FALSE)</f>
        <v>45885</v>
      </c>
      <c r="H40">
        <f t="shared" ca="1" si="0"/>
        <v>45890</v>
      </c>
      <c r="I40">
        <f t="shared" ca="1" si="1"/>
        <v>5</v>
      </c>
      <c r="J40" t="str">
        <f t="shared" ca="1" si="2"/>
        <v>Late</v>
      </c>
      <c r="K40" t="str">
        <f t="shared" ca="1" si="3"/>
        <v>Major Delay</v>
      </c>
    </row>
    <row r="41" spans="1:11" x14ac:dyDescent="0.25">
      <c r="A41" t="s">
        <v>1305</v>
      </c>
      <c r="B41" t="s">
        <v>418</v>
      </c>
      <c r="C41" t="s">
        <v>203</v>
      </c>
      <c r="D41" t="s">
        <v>213</v>
      </c>
      <c r="E41" t="s">
        <v>255</v>
      </c>
      <c r="F41">
        <f ca="1">VLOOKUP(B41, Orders!A:E, 3, FALSE) + RANDBETWEEN(0,2)</f>
        <v>45949</v>
      </c>
      <c r="G41">
        <f ca="1">F41+VLOOKUP(E41,Routes!A:D,4,FALSE)</f>
        <v>45952</v>
      </c>
      <c r="H41">
        <f t="shared" ca="1" si="0"/>
        <v>45952</v>
      </c>
      <c r="I41">
        <f t="shared" ca="1" si="1"/>
        <v>0</v>
      </c>
      <c r="J41" t="str">
        <f t="shared" ca="1" si="2"/>
        <v>On Time</v>
      </c>
      <c r="K41" t="str">
        <f t="shared" ca="1" si="3"/>
        <v>On Time</v>
      </c>
    </row>
    <row r="42" spans="1:11" x14ac:dyDescent="0.25">
      <c r="A42" t="s">
        <v>1306</v>
      </c>
      <c r="B42" t="s">
        <v>385</v>
      </c>
      <c r="C42" t="s">
        <v>196</v>
      </c>
      <c r="D42" t="s">
        <v>223</v>
      </c>
      <c r="E42" t="s">
        <v>253</v>
      </c>
      <c r="F42">
        <f ca="1">VLOOKUP(B42, Orders!A:E, 3, FALSE) + RANDBETWEEN(0,2)</f>
        <v>45816</v>
      </c>
      <c r="G42">
        <f ca="1">F42+VLOOKUP(E42,Routes!A:D,4,FALSE)</f>
        <v>45820</v>
      </c>
      <c r="H42">
        <f t="shared" ca="1" si="0"/>
        <v>45824</v>
      </c>
      <c r="I42">
        <f t="shared" ca="1" si="1"/>
        <v>4</v>
      </c>
      <c r="J42" t="str">
        <f t="shared" ca="1" si="2"/>
        <v>Late</v>
      </c>
      <c r="K42" t="str">
        <f t="shared" ca="1" si="3"/>
        <v>Major Delay</v>
      </c>
    </row>
    <row r="43" spans="1:11" x14ac:dyDescent="0.25">
      <c r="A43" t="s">
        <v>1307</v>
      </c>
      <c r="B43" t="s">
        <v>349</v>
      </c>
      <c r="C43" t="s">
        <v>206</v>
      </c>
      <c r="D43" t="s">
        <v>223</v>
      </c>
      <c r="E43" t="s">
        <v>255</v>
      </c>
      <c r="F43">
        <f ca="1">VLOOKUP(B43, Orders!A:E, 3, FALSE) + RANDBETWEEN(0,2)</f>
        <v>45955</v>
      </c>
      <c r="G43">
        <f ca="1">F43+VLOOKUP(E43,Routes!A:D,4,FALSE)</f>
        <v>45958</v>
      </c>
      <c r="H43">
        <f t="shared" ca="1" si="0"/>
        <v>45958</v>
      </c>
      <c r="I43">
        <f t="shared" ca="1" si="1"/>
        <v>0</v>
      </c>
      <c r="J43" t="str">
        <f t="shared" ca="1" si="2"/>
        <v>On Time</v>
      </c>
      <c r="K43" t="str">
        <f t="shared" ca="1" si="3"/>
        <v>On Time</v>
      </c>
    </row>
    <row r="44" spans="1:11" x14ac:dyDescent="0.25">
      <c r="A44" t="s">
        <v>1308</v>
      </c>
      <c r="B44" t="s">
        <v>479</v>
      </c>
      <c r="C44" t="s">
        <v>200</v>
      </c>
      <c r="D44" t="s">
        <v>227</v>
      </c>
      <c r="E44" t="s">
        <v>244</v>
      </c>
      <c r="F44">
        <f ca="1">VLOOKUP(B44, Orders!A:E, 3, FALSE) + RANDBETWEEN(0,2)</f>
        <v>45883</v>
      </c>
      <c r="G44">
        <f ca="1">F44+VLOOKUP(E44,Routes!A:D,4,FALSE)</f>
        <v>45886</v>
      </c>
      <c r="H44">
        <f t="shared" ca="1" si="0"/>
        <v>45886</v>
      </c>
      <c r="I44">
        <f t="shared" ca="1" si="1"/>
        <v>0</v>
      </c>
      <c r="J44" t="str">
        <f t="shared" ca="1" si="2"/>
        <v>On Time</v>
      </c>
      <c r="K44" t="str">
        <f t="shared" ca="1" si="3"/>
        <v>On Time</v>
      </c>
    </row>
    <row r="45" spans="1:11" x14ac:dyDescent="0.25">
      <c r="A45" t="s">
        <v>1309</v>
      </c>
      <c r="B45" t="s">
        <v>302</v>
      </c>
      <c r="C45" t="s">
        <v>206</v>
      </c>
      <c r="D45" t="s">
        <v>213</v>
      </c>
      <c r="E45" t="s">
        <v>255</v>
      </c>
      <c r="F45">
        <f ca="1">VLOOKUP(B45, Orders!A:E, 3, FALSE) + RANDBETWEEN(0,2)</f>
        <v>45808</v>
      </c>
      <c r="G45">
        <f ca="1">F45+VLOOKUP(E45,Routes!A:D,4,FALSE)</f>
        <v>45811</v>
      </c>
      <c r="H45">
        <f t="shared" ca="1" si="0"/>
        <v>45811</v>
      </c>
      <c r="I45">
        <f t="shared" ca="1" si="1"/>
        <v>0</v>
      </c>
      <c r="J45" t="str">
        <f t="shared" ca="1" si="2"/>
        <v>On Time</v>
      </c>
      <c r="K45" t="str">
        <f t="shared" ca="1" si="3"/>
        <v>On Time</v>
      </c>
    </row>
    <row r="46" spans="1:11" x14ac:dyDescent="0.25">
      <c r="A46" t="s">
        <v>1310</v>
      </c>
      <c r="B46" t="s">
        <v>268</v>
      </c>
      <c r="C46" t="s">
        <v>200</v>
      </c>
      <c r="D46" t="s">
        <v>230</v>
      </c>
      <c r="E46" t="s">
        <v>247</v>
      </c>
      <c r="F46">
        <f ca="1">VLOOKUP(B46, Orders!A:E, 3, FALSE) + RANDBETWEEN(0,2)</f>
        <v>46031</v>
      </c>
      <c r="G46">
        <f ca="1">F46+VLOOKUP(E46,Routes!A:D,4,FALSE)</f>
        <v>46035</v>
      </c>
      <c r="H46">
        <f t="shared" ca="1" si="0"/>
        <v>46035</v>
      </c>
      <c r="I46">
        <f t="shared" ca="1" si="1"/>
        <v>0</v>
      </c>
      <c r="J46" t="str">
        <f t="shared" ca="1" si="2"/>
        <v>On Time</v>
      </c>
      <c r="K46" t="str">
        <f t="shared" ca="1" si="3"/>
        <v>On Time</v>
      </c>
    </row>
    <row r="47" spans="1:11" x14ac:dyDescent="0.25">
      <c r="A47" t="s">
        <v>1311</v>
      </c>
      <c r="B47" t="s">
        <v>387</v>
      </c>
      <c r="C47" t="s">
        <v>203</v>
      </c>
      <c r="D47" t="s">
        <v>223</v>
      </c>
      <c r="E47" t="s">
        <v>255</v>
      </c>
      <c r="F47">
        <f ca="1">VLOOKUP(B47, Orders!A:E, 3, FALSE) + RANDBETWEEN(0,2)</f>
        <v>45911</v>
      </c>
      <c r="G47">
        <f ca="1">F47+VLOOKUP(E47,Routes!A:D,4,FALSE)</f>
        <v>45914</v>
      </c>
      <c r="H47">
        <f t="shared" ca="1" si="0"/>
        <v>45916</v>
      </c>
      <c r="I47">
        <f t="shared" ca="1" si="1"/>
        <v>2</v>
      </c>
      <c r="J47" t="str">
        <f t="shared" ca="1" si="2"/>
        <v>Late</v>
      </c>
      <c r="K47" t="str">
        <f t="shared" ca="1" si="3"/>
        <v>Minor Delay</v>
      </c>
    </row>
    <row r="48" spans="1:11" x14ac:dyDescent="0.25">
      <c r="A48" t="s">
        <v>1312</v>
      </c>
      <c r="B48" t="s">
        <v>374</v>
      </c>
      <c r="C48" t="s">
        <v>192</v>
      </c>
      <c r="D48" t="s">
        <v>230</v>
      </c>
      <c r="E48" t="s">
        <v>253</v>
      </c>
      <c r="F48">
        <f ca="1">VLOOKUP(B48, Orders!A:E, 3, FALSE) + RANDBETWEEN(0,2)</f>
        <v>45857</v>
      </c>
      <c r="G48">
        <f ca="1">F48+VLOOKUP(E48,Routes!A:D,4,FALSE)</f>
        <v>45861</v>
      </c>
      <c r="H48">
        <f t="shared" ca="1" si="0"/>
        <v>45863</v>
      </c>
      <c r="I48">
        <f t="shared" ca="1" si="1"/>
        <v>2</v>
      </c>
      <c r="J48" t="str">
        <f t="shared" ca="1" si="2"/>
        <v>Late</v>
      </c>
      <c r="K48" t="str">
        <f t="shared" ca="1" si="3"/>
        <v>Minor Delay</v>
      </c>
    </row>
    <row r="49" spans="1:11" x14ac:dyDescent="0.25">
      <c r="A49" t="s">
        <v>1313</v>
      </c>
      <c r="B49" t="s">
        <v>435</v>
      </c>
      <c r="C49" t="s">
        <v>196</v>
      </c>
      <c r="D49" t="s">
        <v>227</v>
      </c>
      <c r="E49" t="s">
        <v>242</v>
      </c>
      <c r="F49">
        <f ca="1">VLOOKUP(B49, Orders!A:E, 3, FALSE) + RANDBETWEEN(0,2)</f>
        <v>46039</v>
      </c>
      <c r="G49">
        <f ca="1">F49+VLOOKUP(E49,Routes!A:D,4,FALSE)</f>
        <v>46043</v>
      </c>
      <c r="H49">
        <f t="shared" ca="1" si="0"/>
        <v>46043</v>
      </c>
      <c r="I49">
        <f t="shared" ca="1" si="1"/>
        <v>0</v>
      </c>
      <c r="J49" t="str">
        <f t="shared" ca="1" si="2"/>
        <v>On Time</v>
      </c>
      <c r="K49" t="str">
        <f t="shared" ca="1" si="3"/>
        <v>On Time</v>
      </c>
    </row>
    <row r="50" spans="1:11" x14ac:dyDescent="0.25">
      <c r="A50" t="s">
        <v>1314</v>
      </c>
      <c r="B50" t="s">
        <v>500</v>
      </c>
      <c r="C50" t="s">
        <v>196</v>
      </c>
      <c r="D50" t="s">
        <v>230</v>
      </c>
      <c r="E50" t="s">
        <v>237</v>
      </c>
      <c r="F50">
        <f ca="1">VLOOKUP(B50, Orders!A:E, 3, FALSE) + RANDBETWEEN(0,2)</f>
        <v>45947</v>
      </c>
      <c r="G50">
        <f ca="1">F50+VLOOKUP(E50,Routes!A:D,4,FALSE)</f>
        <v>45949</v>
      </c>
      <c r="H50">
        <f t="shared" ca="1" si="0"/>
        <v>45949</v>
      </c>
      <c r="I50">
        <f t="shared" ca="1" si="1"/>
        <v>0</v>
      </c>
      <c r="J50" t="str">
        <f t="shared" ca="1" si="2"/>
        <v>On Time</v>
      </c>
      <c r="K50" t="str">
        <f t="shared" ca="1" si="3"/>
        <v>On Time</v>
      </c>
    </row>
    <row r="51" spans="1:11" x14ac:dyDescent="0.25">
      <c r="A51" t="s">
        <v>1315</v>
      </c>
      <c r="B51" t="s">
        <v>368</v>
      </c>
      <c r="C51" t="s">
        <v>192</v>
      </c>
      <c r="D51" t="s">
        <v>223</v>
      </c>
      <c r="E51" t="s">
        <v>251</v>
      </c>
      <c r="F51">
        <f ca="1">VLOOKUP(B51, Orders!A:E, 3, FALSE) + RANDBETWEEN(0,2)</f>
        <v>46011</v>
      </c>
      <c r="G51">
        <f ca="1">F51+VLOOKUP(E51,Routes!A:D,4,FALSE)</f>
        <v>46015</v>
      </c>
      <c r="H51">
        <f t="shared" ca="1" si="0"/>
        <v>46015</v>
      </c>
      <c r="I51">
        <f t="shared" ca="1" si="1"/>
        <v>0</v>
      </c>
      <c r="J51" t="str">
        <f t="shared" ca="1" si="2"/>
        <v>On Time</v>
      </c>
      <c r="K51" t="str">
        <f t="shared" ca="1" si="3"/>
        <v>On Time</v>
      </c>
    </row>
    <row r="52" spans="1:11" x14ac:dyDescent="0.25">
      <c r="A52" t="s">
        <v>1316</v>
      </c>
      <c r="B52" t="s">
        <v>374</v>
      </c>
      <c r="C52" t="s">
        <v>196</v>
      </c>
      <c r="D52" t="s">
        <v>230</v>
      </c>
      <c r="E52" t="s">
        <v>246</v>
      </c>
      <c r="F52">
        <f ca="1">VLOOKUP(B52, Orders!A:E, 3, FALSE) + RANDBETWEEN(0,2)</f>
        <v>45858</v>
      </c>
      <c r="G52">
        <f ca="1">F52+VLOOKUP(E52,Routes!A:D,4,FALSE)</f>
        <v>45861</v>
      </c>
      <c r="H52">
        <f t="shared" ca="1" si="0"/>
        <v>45861</v>
      </c>
      <c r="I52">
        <f t="shared" ca="1" si="1"/>
        <v>0</v>
      </c>
      <c r="J52" t="str">
        <f t="shared" ca="1" si="2"/>
        <v>On Time</v>
      </c>
      <c r="K52" t="str">
        <f t="shared" ca="1" si="3"/>
        <v>On Time</v>
      </c>
    </row>
    <row r="53" spans="1:11" x14ac:dyDescent="0.25">
      <c r="A53" t="s">
        <v>1317</v>
      </c>
      <c r="B53" t="s">
        <v>480</v>
      </c>
      <c r="C53" t="s">
        <v>196</v>
      </c>
      <c r="D53" t="s">
        <v>220</v>
      </c>
      <c r="E53" t="s">
        <v>249</v>
      </c>
      <c r="F53">
        <f ca="1">VLOOKUP(B53, Orders!A:E, 3, FALSE) + RANDBETWEEN(0,2)</f>
        <v>45918</v>
      </c>
      <c r="G53">
        <f ca="1">F53+VLOOKUP(E53,Routes!A:D,4,FALSE)</f>
        <v>45920</v>
      </c>
      <c r="H53">
        <f t="shared" ca="1" si="0"/>
        <v>45922</v>
      </c>
      <c r="I53">
        <f t="shared" ca="1" si="1"/>
        <v>2</v>
      </c>
      <c r="J53" t="str">
        <f t="shared" ca="1" si="2"/>
        <v>Late</v>
      </c>
      <c r="K53" t="str">
        <f t="shared" ca="1" si="3"/>
        <v>Minor Delay</v>
      </c>
    </row>
    <row r="54" spans="1:11" x14ac:dyDescent="0.25">
      <c r="A54" t="s">
        <v>1318</v>
      </c>
      <c r="B54" t="s">
        <v>366</v>
      </c>
      <c r="C54" t="s">
        <v>203</v>
      </c>
      <c r="D54" t="s">
        <v>230</v>
      </c>
      <c r="E54" t="s">
        <v>237</v>
      </c>
      <c r="F54">
        <f ca="1">VLOOKUP(B54, Orders!A:E, 3, FALSE) + RANDBETWEEN(0,2)</f>
        <v>45872</v>
      </c>
      <c r="G54">
        <f ca="1">F54+VLOOKUP(E54,Routes!A:D,4,FALSE)</f>
        <v>45874</v>
      </c>
      <c r="H54">
        <f t="shared" ca="1" si="0"/>
        <v>45874</v>
      </c>
      <c r="I54">
        <f t="shared" ca="1" si="1"/>
        <v>0</v>
      </c>
      <c r="J54" t="str">
        <f t="shared" ca="1" si="2"/>
        <v>On Time</v>
      </c>
      <c r="K54" t="str">
        <f t="shared" ca="1" si="3"/>
        <v>On Time</v>
      </c>
    </row>
    <row r="55" spans="1:11" x14ac:dyDescent="0.25">
      <c r="A55" t="s">
        <v>1319</v>
      </c>
      <c r="B55" t="s">
        <v>378</v>
      </c>
      <c r="C55" t="s">
        <v>192</v>
      </c>
      <c r="D55" t="s">
        <v>223</v>
      </c>
      <c r="E55" t="s">
        <v>249</v>
      </c>
      <c r="F55">
        <f ca="1">VLOOKUP(B55, Orders!A:E, 3, FALSE) + RANDBETWEEN(0,2)</f>
        <v>45833</v>
      </c>
      <c r="G55">
        <f ca="1">F55+VLOOKUP(E55,Routes!A:D,4,FALSE)</f>
        <v>45835</v>
      </c>
      <c r="H55">
        <f t="shared" ca="1" si="0"/>
        <v>45835</v>
      </c>
      <c r="I55">
        <f t="shared" ca="1" si="1"/>
        <v>0</v>
      </c>
      <c r="J55" t="str">
        <f t="shared" ca="1" si="2"/>
        <v>On Time</v>
      </c>
      <c r="K55" t="str">
        <f t="shared" ca="1" si="3"/>
        <v>On Time</v>
      </c>
    </row>
    <row r="56" spans="1:11" x14ac:dyDescent="0.25">
      <c r="A56" t="s">
        <v>1320</v>
      </c>
      <c r="B56" t="s">
        <v>360</v>
      </c>
      <c r="C56" t="s">
        <v>203</v>
      </c>
      <c r="D56" t="s">
        <v>227</v>
      </c>
      <c r="E56" t="s">
        <v>253</v>
      </c>
      <c r="F56">
        <f ca="1">VLOOKUP(B56, Orders!A:E, 3, FALSE) + RANDBETWEEN(0,2)</f>
        <v>45902</v>
      </c>
      <c r="G56">
        <f ca="1">F56+VLOOKUP(E56,Routes!A:D,4,FALSE)</f>
        <v>45906</v>
      </c>
      <c r="H56">
        <f t="shared" ca="1" si="0"/>
        <v>45910</v>
      </c>
      <c r="I56">
        <f t="shared" ca="1" si="1"/>
        <v>4</v>
      </c>
      <c r="J56" t="str">
        <f t="shared" ca="1" si="2"/>
        <v>Late</v>
      </c>
      <c r="K56" t="str">
        <f t="shared" ca="1" si="3"/>
        <v>Major Delay</v>
      </c>
    </row>
    <row r="57" spans="1:11" x14ac:dyDescent="0.25">
      <c r="A57" t="s">
        <v>1321</v>
      </c>
      <c r="B57" t="s">
        <v>445</v>
      </c>
      <c r="C57" t="s">
        <v>203</v>
      </c>
      <c r="D57" t="s">
        <v>217</v>
      </c>
      <c r="E57" t="s">
        <v>259</v>
      </c>
      <c r="F57">
        <f ca="1">VLOOKUP(B57, Orders!A:E, 3, FALSE) + RANDBETWEEN(0,2)</f>
        <v>45906</v>
      </c>
      <c r="G57">
        <f ca="1">F57+VLOOKUP(E57,Routes!A:D,4,FALSE)</f>
        <v>45908</v>
      </c>
      <c r="H57">
        <f t="shared" ca="1" si="0"/>
        <v>45908</v>
      </c>
      <c r="I57">
        <f t="shared" ca="1" si="1"/>
        <v>0</v>
      </c>
      <c r="J57" t="str">
        <f t="shared" ca="1" si="2"/>
        <v>On Time</v>
      </c>
      <c r="K57" t="str">
        <f t="shared" ca="1" si="3"/>
        <v>On Time</v>
      </c>
    </row>
    <row r="58" spans="1:11" x14ac:dyDescent="0.25">
      <c r="A58" t="s">
        <v>1322</v>
      </c>
      <c r="B58" t="s">
        <v>372</v>
      </c>
      <c r="C58" t="s">
        <v>206</v>
      </c>
      <c r="D58" t="s">
        <v>213</v>
      </c>
      <c r="E58" t="s">
        <v>242</v>
      </c>
      <c r="F58">
        <f ca="1">VLOOKUP(B58, Orders!A:E, 3, FALSE) + RANDBETWEEN(0,2)</f>
        <v>45959</v>
      </c>
      <c r="G58">
        <f ca="1">F58+VLOOKUP(E58,Routes!A:D,4,FALSE)</f>
        <v>45963</v>
      </c>
      <c r="H58">
        <f t="shared" ca="1" si="0"/>
        <v>45966</v>
      </c>
      <c r="I58">
        <f t="shared" ca="1" si="1"/>
        <v>3</v>
      </c>
      <c r="J58" t="str">
        <f t="shared" ca="1" si="2"/>
        <v>Late</v>
      </c>
      <c r="K58" t="str">
        <f t="shared" ca="1" si="3"/>
        <v>Major Delay</v>
      </c>
    </row>
    <row r="59" spans="1:11" x14ac:dyDescent="0.25">
      <c r="A59" t="s">
        <v>1323</v>
      </c>
      <c r="B59" t="s">
        <v>435</v>
      </c>
      <c r="C59" t="s">
        <v>203</v>
      </c>
      <c r="D59" t="s">
        <v>230</v>
      </c>
      <c r="E59" t="s">
        <v>246</v>
      </c>
      <c r="F59">
        <f ca="1">VLOOKUP(B59, Orders!A:E, 3, FALSE) + RANDBETWEEN(0,2)</f>
        <v>46038</v>
      </c>
      <c r="G59">
        <f ca="1">F59+VLOOKUP(E59,Routes!A:D,4,FALSE)</f>
        <v>46041</v>
      </c>
      <c r="H59">
        <f t="shared" ca="1" si="0"/>
        <v>46041</v>
      </c>
      <c r="I59">
        <f t="shared" ca="1" si="1"/>
        <v>0</v>
      </c>
      <c r="J59" t="str">
        <f t="shared" ca="1" si="2"/>
        <v>On Time</v>
      </c>
      <c r="K59" t="str">
        <f t="shared" ca="1" si="3"/>
        <v>On Time</v>
      </c>
    </row>
    <row r="60" spans="1:11" x14ac:dyDescent="0.25">
      <c r="A60" t="s">
        <v>1324</v>
      </c>
      <c r="B60" t="s">
        <v>416</v>
      </c>
      <c r="C60" t="s">
        <v>203</v>
      </c>
      <c r="D60" t="s">
        <v>213</v>
      </c>
      <c r="E60" t="s">
        <v>240</v>
      </c>
      <c r="F60">
        <f ca="1">VLOOKUP(B60, Orders!A:E, 3, FALSE) + RANDBETWEEN(0,2)</f>
        <v>45787</v>
      </c>
      <c r="G60">
        <f ca="1">F60+VLOOKUP(E60,Routes!A:D,4,FALSE)</f>
        <v>45791</v>
      </c>
      <c r="H60">
        <f t="shared" ca="1" si="0"/>
        <v>45791</v>
      </c>
      <c r="I60">
        <f t="shared" ca="1" si="1"/>
        <v>0</v>
      </c>
      <c r="J60" t="str">
        <f t="shared" ca="1" si="2"/>
        <v>On Time</v>
      </c>
      <c r="K60" t="str">
        <f t="shared" ca="1" si="3"/>
        <v>On Time</v>
      </c>
    </row>
    <row r="61" spans="1:11" x14ac:dyDescent="0.25">
      <c r="A61" t="s">
        <v>1325</v>
      </c>
      <c r="B61" t="s">
        <v>302</v>
      </c>
      <c r="C61" t="s">
        <v>206</v>
      </c>
      <c r="D61" t="s">
        <v>230</v>
      </c>
      <c r="E61" t="s">
        <v>237</v>
      </c>
      <c r="F61">
        <f ca="1">VLOOKUP(B61, Orders!A:E, 3, FALSE) + RANDBETWEEN(0,2)</f>
        <v>45808</v>
      </c>
      <c r="G61">
        <f ca="1">F61+VLOOKUP(E61,Routes!A:D,4,FALSE)</f>
        <v>45810</v>
      </c>
      <c r="H61">
        <f t="shared" ca="1" si="0"/>
        <v>45810</v>
      </c>
      <c r="I61">
        <f t="shared" ca="1" si="1"/>
        <v>0</v>
      </c>
      <c r="J61" t="str">
        <f t="shared" ca="1" si="2"/>
        <v>On Time</v>
      </c>
      <c r="K61" t="str">
        <f t="shared" ca="1" si="3"/>
        <v>On Time</v>
      </c>
    </row>
    <row r="62" spans="1:11" x14ac:dyDescent="0.25">
      <c r="A62" t="s">
        <v>1326</v>
      </c>
      <c r="B62" t="s">
        <v>405</v>
      </c>
      <c r="C62" t="s">
        <v>206</v>
      </c>
      <c r="D62" t="s">
        <v>230</v>
      </c>
      <c r="E62" t="s">
        <v>247</v>
      </c>
      <c r="F62">
        <f ca="1">VLOOKUP(B62, Orders!A:E, 3, FALSE) + RANDBETWEEN(0,2)</f>
        <v>45959</v>
      </c>
      <c r="G62">
        <f ca="1">F62+VLOOKUP(E62,Routes!A:D,4,FALSE)</f>
        <v>45963</v>
      </c>
      <c r="H62">
        <f t="shared" ca="1" si="0"/>
        <v>45963</v>
      </c>
      <c r="I62">
        <f t="shared" ca="1" si="1"/>
        <v>0</v>
      </c>
      <c r="J62" t="str">
        <f t="shared" ca="1" si="2"/>
        <v>On Time</v>
      </c>
      <c r="K62" t="str">
        <f t="shared" ca="1" si="3"/>
        <v>On Time</v>
      </c>
    </row>
    <row r="63" spans="1:11" x14ac:dyDescent="0.25">
      <c r="A63" t="s">
        <v>1327</v>
      </c>
      <c r="B63" t="s">
        <v>441</v>
      </c>
      <c r="C63" t="s">
        <v>192</v>
      </c>
      <c r="D63" t="s">
        <v>217</v>
      </c>
      <c r="E63" t="s">
        <v>257</v>
      </c>
      <c r="F63">
        <f ca="1">VLOOKUP(B63, Orders!A:E, 3, FALSE) + RANDBETWEEN(0,2)</f>
        <v>45790</v>
      </c>
      <c r="G63">
        <f ca="1">F63+VLOOKUP(E63,Routes!A:D,4,FALSE)</f>
        <v>45793</v>
      </c>
      <c r="H63">
        <f t="shared" ca="1" si="0"/>
        <v>45793</v>
      </c>
      <c r="I63">
        <f t="shared" ca="1" si="1"/>
        <v>0</v>
      </c>
      <c r="J63" t="str">
        <f t="shared" ca="1" si="2"/>
        <v>On Time</v>
      </c>
      <c r="K63" t="str">
        <f t="shared" ca="1" si="3"/>
        <v>On Time</v>
      </c>
    </row>
    <row r="64" spans="1:11" x14ac:dyDescent="0.25">
      <c r="A64" t="s">
        <v>1328</v>
      </c>
      <c r="B64" t="s">
        <v>419</v>
      </c>
      <c r="C64" t="s">
        <v>206</v>
      </c>
      <c r="D64" t="s">
        <v>220</v>
      </c>
      <c r="E64" t="s">
        <v>251</v>
      </c>
      <c r="F64">
        <f ca="1">VLOOKUP(B64, Orders!A:E, 3, FALSE) + RANDBETWEEN(0,2)</f>
        <v>45895</v>
      </c>
      <c r="G64">
        <f ca="1">F64+VLOOKUP(E64,Routes!A:D,4,FALSE)</f>
        <v>45899</v>
      </c>
      <c r="H64">
        <f t="shared" ca="1" si="0"/>
        <v>45899</v>
      </c>
      <c r="I64">
        <f t="shared" ca="1" si="1"/>
        <v>0</v>
      </c>
      <c r="J64" t="str">
        <f t="shared" ca="1" si="2"/>
        <v>On Time</v>
      </c>
      <c r="K64" t="str">
        <f t="shared" ca="1" si="3"/>
        <v>On Time</v>
      </c>
    </row>
    <row r="65" spans="1:11" x14ac:dyDescent="0.25">
      <c r="A65" t="s">
        <v>1329</v>
      </c>
      <c r="B65" t="s">
        <v>373</v>
      </c>
      <c r="C65" t="s">
        <v>206</v>
      </c>
      <c r="D65" t="s">
        <v>220</v>
      </c>
      <c r="E65" t="s">
        <v>247</v>
      </c>
      <c r="F65">
        <f ca="1">VLOOKUP(B65, Orders!A:E, 3, FALSE) + RANDBETWEEN(0,2)</f>
        <v>45864</v>
      </c>
      <c r="G65">
        <f ca="1">F65+VLOOKUP(E65,Routes!A:D,4,FALSE)</f>
        <v>45868</v>
      </c>
      <c r="H65">
        <f t="shared" ca="1" si="0"/>
        <v>45873</v>
      </c>
      <c r="I65">
        <f t="shared" ca="1" si="1"/>
        <v>5</v>
      </c>
      <c r="J65" t="str">
        <f t="shared" ca="1" si="2"/>
        <v>Late</v>
      </c>
      <c r="K65" t="str">
        <f t="shared" ca="1" si="3"/>
        <v>Major Delay</v>
      </c>
    </row>
    <row r="66" spans="1:11" x14ac:dyDescent="0.25">
      <c r="A66" t="s">
        <v>1330</v>
      </c>
      <c r="B66" t="s">
        <v>461</v>
      </c>
      <c r="C66" t="s">
        <v>200</v>
      </c>
      <c r="D66" t="s">
        <v>227</v>
      </c>
      <c r="E66" t="s">
        <v>257</v>
      </c>
      <c r="F66">
        <f ca="1">VLOOKUP(B66, Orders!A:E, 3, FALSE) + RANDBETWEEN(0,2)</f>
        <v>45856</v>
      </c>
      <c r="G66">
        <f ca="1">F66+VLOOKUP(E66,Routes!A:D,4,FALSE)</f>
        <v>45859</v>
      </c>
      <c r="H66">
        <f t="shared" ca="1" si="0"/>
        <v>45859</v>
      </c>
      <c r="I66">
        <f t="shared" ca="1" si="1"/>
        <v>0</v>
      </c>
      <c r="J66" t="str">
        <f t="shared" ca="1" si="2"/>
        <v>On Time</v>
      </c>
      <c r="K66" t="str">
        <f t="shared" ca="1" si="3"/>
        <v>On Time</v>
      </c>
    </row>
    <row r="67" spans="1:11" x14ac:dyDescent="0.25">
      <c r="A67" t="s">
        <v>1331</v>
      </c>
      <c r="B67" t="s">
        <v>507</v>
      </c>
      <c r="C67" t="s">
        <v>196</v>
      </c>
      <c r="D67" t="s">
        <v>213</v>
      </c>
      <c r="E67" t="s">
        <v>249</v>
      </c>
      <c r="F67">
        <f ca="1">VLOOKUP(B67, Orders!A:E, 3, FALSE) + RANDBETWEEN(0,2)</f>
        <v>45813</v>
      </c>
      <c r="G67">
        <f ca="1">F67+VLOOKUP(E67,Routes!A:D,4,FALSE)</f>
        <v>45815</v>
      </c>
      <c r="H67">
        <f t="shared" ref="H67:H130" ca="1" si="4">G67+IF(RAND()&lt;0.3,RANDBETWEEN(1,5),0)</f>
        <v>45819</v>
      </c>
      <c r="I67">
        <f t="shared" ref="I67:I130" ca="1" si="5">H67-G67</f>
        <v>4</v>
      </c>
      <c r="J67" t="str">
        <f t="shared" ref="J67:J130" ca="1" si="6">IF(I67&gt;0,"Late", "On Time")</f>
        <v>Late</v>
      </c>
      <c r="K67" t="str">
        <f t="shared" ref="K67:K130" ca="1" si="7">IF(I67&lt;=0, "On Time",  IF(I67&lt;=2, "Minor Delay", "Major Delay"))</f>
        <v>Major Delay</v>
      </c>
    </row>
    <row r="68" spans="1:11" x14ac:dyDescent="0.25">
      <c r="A68" t="s">
        <v>1332</v>
      </c>
      <c r="B68" t="s">
        <v>321</v>
      </c>
      <c r="C68" t="s">
        <v>200</v>
      </c>
      <c r="D68" t="s">
        <v>227</v>
      </c>
      <c r="E68" t="s">
        <v>242</v>
      </c>
      <c r="F68">
        <f ca="1">VLOOKUP(B68, Orders!A:E, 3, FALSE) + RANDBETWEEN(0,2)</f>
        <v>45973</v>
      </c>
      <c r="G68">
        <f ca="1">F68+VLOOKUP(E68,Routes!A:D,4,FALSE)</f>
        <v>45977</v>
      </c>
      <c r="H68">
        <f t="shared" ca="1" si="4"/>
        <v>45977</v>
      </c>
      <c r="I68">
        <f t="shared" ca="1" si="5"/>
        <v>0</v>
      </c>
      <c r="J68" t="str">
        <f t="shared" ca="1" si="6"/>
        <v>On Time</v>
      </c>
      <c r="K68" t="str">
        <f t="shared" ca="1" si="7"/>
        <v>On Time</v>
      </c>
    </row>
    <row r="69" spans="1:11" x14ac:dyDescent="0.25">
      <c r="A69" t="s">
        <v>1333</v>
      </c>
      <c r="B69" t="s">
        <v>295</v>
      </c>
      <c r="C69" t="s">
        <v>196</v>
      </c>
      <c r="D69" t="s">
        <v>230</v>
      </c>
      <c r="E69" t="s">
        <v>246</v>
      </c>
      <c r="F69">
        <f ca="1">VLOOKUP(B69, Orders!A:E, 3, FALSE) + RANDBETWEEN(0,2)</f>
        <v>45894</v>
      </c>
      <c r="G69">
        <f ca="1">F69+VLOOKUP(E69,Routes!A:D,4,FALSE)</f>
        <v>45897</v>
      </c>
      <c r="H69">
        <f t="shared" ca="1" si="4"/>
        <v>45898</v>
      </c>
      <c r="I69">
        <f t="shared" ca="1" si="5"/>
        <v>1</v>
      </c>
      <c r="J69" t="str">
        <f t="shared" ca="1" si="6"/>
        <v>Late</v>
      </c>
      <c r="K69" t="str">
        <f t="shared" ca="1" si="7"/>
        <v>Minor Delay</v>
      </c>
    </row>
    <row r="70" spans="1:11" x14ac:dyDescent="0.25">
      <c r="A70" t="s">
        <v>1334</v>
      </c>
      <c r="B70" t="s">
        <v>353</v>
      </c>
      <c r="C70" t="s">
        <v>192</v>
      </c>
      <c r="D70" t="s">
        <v>220</v>
      </c>
      <c r="E70" t="s">
        <v>242</v>
      </c>
      <c r="F70">
        <f ca="1">VLOOKUP(B70, Orders!A:E, 3, FALSE) + RANDBETWEEN(0,2)</f>
        <v>45879</v>
      </c>
      <c r="G70">
        <f ca="1">F70+VLOOKUP(E70,Routes!A:D,4,FALSE)</f>
        <v>45883</v>
      </c>
      <c r="H70">
        <f t="shared" ca="1" si="4"/>
        <v>45883</v>
      </c>
      <c r="I70">
        <f t="shared" ca="1" si="5"/>
        <v>0</v>
      </c>
      <c r="J70" t="str">
        <f t="shared" ca="1" si="6"/>
        <v>On Time</v>
      </c>
      <c r="K70" t="str">
        <f t="shared" ca="1" si="7"/>
        <v>On Time</v>
      </c>
    </row>
    <row r="71" spans="1:11" x14ac:dyDescent="0.25">
      <c r="A71" t="s">
        <v>1335</v>
      </c>
      <c r="B71" t="s">
        <v>479</v>
      </c>
      <c r="C71" t="s">
        <v>206</v>
      </c>
      <c r="D71" t="s">
        <v>223</v>
      </c>
      <c r="E71" t="s">
        <v>244</v>
      </c>
      <c r="F71">
        <f ca="1">VLOOKUP(B71, Orders!A:E, 3, FALSE) + RANDBETWEEN(0,2)</f>
        <v>45883</v>
      </c>
      <c r="G71">
        <f ca="1">F71+VLOOKUP(E71,Routes!A:D,4,FALSE)</f>
        <v>45886</v>
      </c>
      <c r="H71">
        <f t="shared" ca="1" si="4"/>
        <v>45891</v>
      </c>
      <c r="I71">
        <f t="shared" ca="1" si="5"/>
        <v>5</v>
      </c>
      <c r="J71" t="str">
        <f t="shared" ca="1" si="6"/>
        <v>Late</v>
      </c>
      <c r="K71" t="str">
        <f t="shared" ca="1" si="7"/>
        <v>Major Delay</v>
      </c>
    </row>
    <row r="72" spans="1:11" x14ac:dyDescent="0.25">
      <c r="A72" t="s">
        <v>1336</v>
      </c>
      <c r="B72" t="s">
        <v>412</v>
      </c>
      <c r="C72" t="s">
        <v>206</v>
      </c>
      <c r="D72" t="s">
        <v>230</v>
      </c>
      <c r="E72" t="s">
        <v>259</v>
      </c>
      <c r="F72">
        <f ca="1">VLOOKUP(B72, Orders!A:E, 3, FALSE) + RANDBETWEEN(0,2)</f>
        <v>45879</v>
      </c>
      <c r="G72">
        <f ca="1">F72+VLOOKUP(E72,Routes!A:D,4,FALSE)</f>
        <v>45881</v>
      </c>
      <c r="H72">
        <f t="shared" ca="1" si="4"/>
        <v>45881</v>
      </c>
      <c r="I72">
        <f t="shared" ca="1" si="5"/>
        <v>0</v>
      </c>
      <c r="J72" t="str">
        <f t="shared" ca="1" si="6"/>
        <v>On Time</v>
      </c>
      <c r="K72" t="str">
        <f t="shared" ca="1" si="7"/>
        <v>On Time</v>
      </c>
    </row>
    <row r="73" spans="1:11" x14ac:dyDescent="0.25">
      <c r="A73" t="s">
        <v>1337</v>
      </c>
      <c r="B73" t="s">
        <v>516</v>
      </c>
      <c r="C73" t="s">
        <v>196</v>
      </c>
      <c r="D73" t="s">
        <v>227</v>
      </c>
      <c r="E73" t="s">
        <v>240</v>
      </c>
      <c r="F73">
        <f ca="1">VLOOKUP(B73, Orders!A:E, 3, FALSE) + RANDBETWEEN(0,2)</f>
        <v>45794</v>
      </c>
      <c r="G73">
        <f ca="1">F73+VLOOKUP(E73,Routes!A:D,4,FALSE)</f>
        <v>45798</v>
      </c>
      <c r="H73">
        <f t="shared" ca="1" si="4"/>
        <v>45798</v>
      </c>
      <c r="I73">
        <f t="shared" ca="1" si="5"/>
        <v>0</v>
      </c>
      <c r="J73" t="str">
        <f t="shared" ca="1" si="6"/>
        <v>On Time</v>
      </c>
      <c r="K73" t="str">
        <f t="shared" ca="1" si="7"/>
        <v>On Time</v>
      </c>
    </row>
    <row r="74" spans="1:11" x14ac:dyDescent="0.25">
      <c r="A74" t="s">
        <v>1338</v>
      </c>
      <c r="B74" t="s">
        <v>368</v>
      </c>
      <c r="C74" t="s">
        <v>196</v>
      </c>
      <c r="D74" t="s">
        <v>227</v>
      </c>
      <c r="E74" t="s">
        <v>249</v>
      </c>
      <c r="F74">
        <f ca="1">VLOOKUP(B74, Orders!A:E, 3, FALSE) + RANDBETWEEN(0,2)</f>
        <v>46009</v>
      </c>
      <c r="G74">
        <f ca="1">F74+VLOOKUP(E74,Routes!A:D,4,FALSE)</f>
        <v>46011</v>
      </c>
      <c r="H74">
        <f t="shared" ca="1" si="4"/>
        <v>46016</v>
      </c>
      <c r="I74">
        <f t="shared" ca="1" si="5"/>
        <v>5</v>
      </c>
      <c r="J74" t="str">
        <f t="shared" ca="1" si="6"/>
        <v>Late</v>
      </c>
      <c r="K74" t="str">
        <f t="shared" ca="1" si="7"/>
        <v>Major Delay</v>
      </c>
    </row>
    <row r="75" spans="1:11" x14ac:dyDescent="0.25">
      <c r="A75" t="s">
        <v>1339</v>
      </c>
      <c r="B75" t="s">
        <v>324</v>
      </c>
      <c r="C75" t="s">
        <v>196</v>
      </c>
      <c r="D75" t="s">
        <v>217</v>
      </c>
      <c r="E75" t="s">
        <v>244</v>
      </c>
      <c r="F75">
        <f ca="1">VLOOKUP(B75, Orders!A:E, 3, FALSE) + RANDBETWEEN(0,2)</f>
        <v>46041</v>
      </c>
      <c r="G75">
        <f ca="1">F75+VLOOKUP(E75,Routes!A:D,4,FALSE)</f>
        <v>46044</v>
      </c>
      <c r="H75">
        <f t="shared" ca="1" si="4"/>
        <v>46044</v>
      </c>
      <c r="I75">
        <f t="shared" ca="1" si="5"/>
        <v>0</v>
      </c>
      <c r="J75" t="str">
        <f t="shared" ca="1" si="6"/>
        <v>On Time</v>
      </c>
      <c r="K75" t="str">
        <f t="shared" ca="1" si="7"/>
        <v>On Time</v>
      </c>
    </row>
    <row r="76" spans="1:11" x14ac:dyDescent="0.25">
      <c r="A76" t="s">
        <v>1340</v>
      </c>
      <c r="B76" t="s">
        <v>454</v>
      </c>
      <c r="C76" t="s">
        <v>206</v>
      </c>
      <c r="D76" t="s">
        <v>227</v>
      </c>
      <c r="E76" t="s">
        <v>244</v>
      </c>
      <c r="F76">
        <f ca="1">VLOOKUP(B76, Orders!A:E, 3, FALSE) + RANDBETWEEN(0,2)</f>
        <v>45993</v>
      </c>
      <c r="G76">
        <f ca="1">F76+VLOOKUP(E76,Routes!A:D,4,FALSE)</f>
        <v>45996</v>
      </c>
      <c r="H76">
        <f t="shared" ca="1" si="4"/>
        <v>45996</v>
      </c>
      <c r="I76">
        <f t="shared" ca="1" si="5"/>
        <v>0</v>
      </c>
      <c r="J76" t="str">
        <f t="shared" ca="1" si="6"/>
        <v>On Time</v>
      </c>
      <c r="K76" t="str">
        <f t="shared" ca="1" si="7"/>
        <v>On Time</v>
      </c>
    </row>
    <row r="77" spans="1:11" x14ac:dyDescent="0.25">
      <c r="A77" t="s">
        <v>1341</v>
      </c>
      <c r="B77" t="s">
        <v>478</v>
      </c>
      <c r="C77" t="s">
        <v>200</v>
      </c>
      <c r="D77" t="s">
        <v>223</v>
      </c>
      <c r="E77" t="s">
        <v>240</v>
      </c>
      <c r="F77">
        <f ca="1">VLOOKUP(B77, Orders!A:E, 3, FALSE) + RANDBETWEEN(0,2)</f>
        <v>45979</v>
      </c>
      <c r="G77">
        <f ca="1">F77+VLOOKUP(E77,Routes!A:D,4,FALSE)</f>
        <v>45983</v>
      </c>
      <c r="H77">
        <f t="shared" ca="1" si="4"/>
        <v>45983</v>
      </c>
      <c r="I77">
        <f t="shared" ca="1" si="5"/>
        <v>0</v>
      </c>
      <c r="J77" t="str">
        <f t="shared" ca="1" si="6"/>
        <v>On Time</v>
      </c>
      <c r="K77" t="str">
        <f t="shared" ca="1" si="7"/>
        <v>On Time</v>
      </c>
    </row>
    <row r="78" spans="1:11" x14ac:dyDescent="0.25">
      <c r="A78" t="s">
        <v>1342</v>
      </c>
      <c r="B78" t="s">
        <v>338</v>
      </c>
      <c r="C78" t="s">
        <v>200</v>
      </c>
      <c r="D78" t="s">
        <v>230</v>
      </c>
      <c r="E78" t="s">
        <v>259</v>
      </c>
      <c r="F78">
        <f ca="1">VLOOKUP(B78, Orders!A:E, 3, FALSE) + RANDBETWEEN(0,2)</f>
        <v>46002</v>
      </c>
      <c r="G78">
        <f ca="1">F78+VLOOKUP(E78,Routes!A:D,4,FALSE)</f>
        <v>46004</v>
      </c>
      <c r="H78">
        <f t="shared" ca="1" si="4"/>
        <v>46004</v>
      </c>
      <c r="I78">
        <f t="shared" ca="1" si="5"/>
        <v>0</v>
      </c>
      <c r="J78" t="str">
        <f t="shared" ca="1" si="6"/>
        <v>On Time</v>
      </c>
      <c r="K78" t="str">
        <f t="shared" ca="1" si="7"/>
        <v>On Time</v>
      </c>
    </row>
    <row r="79" spans="1:11" x14ac:dyDescent="0.25">
      <c r="A79" t="s">
        <v>1343</v>
      </c>
      <c r="B79" t="s">
        <v>276</v>
      </c>
      <c r="C79" t="s">
        <v>200</v>
      </c>
      <c r="D79" t="s">
        <v>223</v>
      </c>
      <c r="E79" t="s">
        <v>259</v>
      </c>
      <c r="F79">
        <f ca="1">VLOOKUP(B79, Orders!A:E, 3, FALSE) + RANDBETWEEN(0,2)</f>
        <v>45940</v>
      </c>
      <c r="G79">
        <f ca="1">F79+VLOOKUP(E79,Routes!A:D,4,FALSE)</f>
        <v>45942</v>
      </c>
      <c r="H79">
        <f t="shared" ca="1" si="4"/>
        <v>45942</v>
      </c>
      <c r="I79">
        <f t="shared" ca="1" si="5"/>
        <v>0</v>
      </c>
      <c r="J79" t="str">
        <f t="shared" ca="1" si="6"/>
        <v>On Time</v>
      </c>
      <c r="K79" t="str">
        <f t="shared" ca="1" si="7"/>
        <v>On Time</v>
      </c>
    </row>
    <row r="80" spans="1:11" x14ac:dyDescent="0.25">
      <c r="A80" t="s">
        <v>1344</v>
      </c>
      <c r="B80" t="s">
        <v>335</v>
      </c>
      <c r="C80" t="s">
        <v>203</v>
      </c>
      <c r="D80" t="s">
        <v>230</v>
      </c>
      <c r="E80" t="s">
        <v>240</v>
      </c>
      <c r="F80">
        <f ca="1">VLOOKUP(B80, Orders!A:E, 3, FALSE) + RANDBETWEEN(0,2)</f>
        <v>45819</v>
      </c>
      <c r="G80">
        <f ca="1">F80+VLOOKUP(E80,Routes!A:D,4,FALSE)</f>
        <v>45823</v>
      </c>
      <c r="H80">
        <f t="shared" ca="1" si="4"/>
        <v>45826</v>
      </c>
      <c r="I80">
        <f t="shared" ca="1" si="5"/>
        <v>3</v>
      </c>
      <c r="J80" t="str">
        <f t="shared" ca="1" si="6"/>
        <v>Late</v>
      </c>
      <c r="K80" t="str">
        <f t="shared" ca="1" si="7"/>
        <v>Major Delay</v>
      </c>
    </row>
    <row r="81" spans="1:11" x14ac:dyDescent="0.25">
      <c r="A81" t="s">
        <v>1345</v>
      </c>
      <c r="B81" t="s">
        <v>362</v>
      </c>
      <c r="C81" t="s">
        <v>196</v>
      </c>
      <c r="D81" t="s">
        <v>227</v>
      </c>
      <c r="E81" t="s">
        <v>255</v>
      </c>
      <c r="F81">
        <f ca="1">VLOOKUP(B81, Orders!A:E, 3, FALSE) + RANDBETWEEN(0,2)</f>
        <v>45865</v>
      </c>
      <c r="G81">
        <f ca="1">F81+VLOOKUP(E81,Routes!A:D,4,FALSE)</f>
        <v>45868</v>
      </c>
      <c r="H81">
        <f t="shared" ca="1" si="4"/>
        <v>45868</v>
      </c>
      <c r="I81">
        <f t="shared" ca="1" si="5"/>
        <v>0</v>
      </c>
      <c r="J81" t="str">
        <f t="shared" ca="1" si="6"/>
        <v>On Time</v>
      </c>
      <c r="K81" t="str">
        <f t="shared" ca="1" si="7"/>
        <v>On Time</v>
      </c>
    </row>
    <row r="82" spans="1:11" x14ac:dyDescent="0.25">
      <c r="A82" t="s">
        <v>1346</v>
      </c>
      <c r="B82" t="s">
        <v>349</v>
      </c>
      <c r="C82" t="s">
        <v>200</v>
      </c>
      <c r="D82" t="s">
        <v>223</v>
      </c>
      <c r="E82" t="s">
        <v>247</v>
      </c>
      <c r="F82">
        <f ca="1">VLOOKUP(B82, Orders!A:E, 3, FALSE) + RANDBETWEEN(0,2)</f>
        <v>45955</v>
      </c>
      <c r="G82">
        <f ca="1">F82+VLOOKUP(E82,Routes!A:D,4,FALSE)</f>
        <v>45959</v>
      </c>
      <c r="H82">
        <f t="shared" ca="1" si="4"/>
        <v>45959</v>
      </c>
      <c r="I82">
        <f t="shared" ca="1" si="5"/>
        <v>0</v>
      </c>
      <c r="J82" t="str">
        <f t="shared" ca="1" si="6"/>
        <v>On Time</v>
      </c>
      <c r="K82" t="str">
        <f t="shared" ca="1" si="7"/>
        <v>On Time</v>
      </c>
    </row>
    <row r="83" spans="1:11" x14ac:dyDescent="0.25">
      <c r="A83" t="s">
        <v>1347</v>
      </c>
      <c r="B83" t="s">
        <v>367</v>
      </c>
      <c r="C83" t="s">
        <v>192</v>
      </c>
      <c r="D83" t="s">
        <v>217</v>
      </c>
      <c r="E83" t="s">
        <v>257</v>
      </c>
      <c r="F83">
        <f ca="1">VLOOKUP(B83, Orders!A:E, 3, FALSE) + RANDBETWEEN(0,2)</f>
        <v>45900</v>
      </c>
      <c r="G83">
        <f ca="1">F83+VLOOKUP(E83,Routes!A:D,4,FALSE)</f>
        <v>45903</v>
      </c>
      <c r="H83">
        <f t="shared" ca="1" si="4"/>
        <v>45903</v>
      </c>
      <c r="I83">
        <f t="shared" ca="1" si="5"/>
        <v>0</v>
      </c>
      <c r="J83" t="str">
        <f t="shared" ca="1" si="6"/>
        <v>On Time</v>
      </c>
      <c r="K83" t="str">
        <f t="shared" ca="1" si="7"/>
        <v>On Time</v>
      </c>
    </row>
    <row r="84" spans="1:11" x14ac:dyDescent="0.25">
      <c r="A84" t="s">
        <v>1348</v>
      </c>
      <c r="B84" t="s">
        <v>510</v>
      </c>
      <c r="C84" t="s">
        <v>200</v>
      </c>
      <c r="D84" t="s">
        <v>213</v>
      </c>
      <c r="E84" t="s">
        <v>249</v>
      </c>
      <c r="F84">
        <f ca="1">VLOOKUP(B84, Orders!A:E, 3, FALSE) + RANDBETWEEN(0,2)</f>
        <v>45907</v>
      </c>
      <c r="G84">
        <f ca="1">F84+VLOOKUP(E84,Routes!A:D,4,FALSE)</f>
        <v>45909</v>
      </c>
      <c r="H84">
        <f t="shared" ca="1" si="4"/>
        <v>45909</v>
      </c>
      <c r="I84">
        <f t="shared" ca="1" si="5"/>
        <v>0</v>
      </c>
      <c r="J84" t="str">
        <f t="shared" ca="1" si="6"/>
        <v>On Time</v>
      </c>
      <c r="K84" t="str">
        <f t="shared" ca="1" si="7"/>
        <v>On Time</v>
      </c>
    </row>
    <row r="85" spans="1:11" x14ac:dyDescent="0.25">
      <c r="A85" t="s">
        <v>1349</v>
      </c>
      <c r="B85" t="s">
        <v>433</v>
      </c>
      <c r="C85" t="s">
        <v>196</v>
      </c>
      <c r="D85" t="s">
        <v>220</v>
      </c>
      <c r="E85" t="s">
        <v>249</v>
      </c>
      <c r="F85">
        <f ca="1">VLOOKUP(B85, Orders!A:E, 3, FALSE) + RANDBETWEEN(0,2)</f>
        <v>45905</v>
      </c>
      <c r="G85">
        <f ca="1">F85+VLOOKUP(E85,Routes!A:D,4,FALSE)</f>
        <v>45907</v>
      </c>
      <c r="H85">
        <f t="shared" ca="1" si="4"/>
        <v>45907</v>
      </c>
      <c r="I85">
        <f t="shared" ca="1" si="5"/>
        <v>0</v>
      </c>
      <c r="J85" t="str">
        <f t="shared" ca="1" si="6"/>
        <v>On Time</v>
      </c>
      <c r="K85" t="str">
        <f t="shared" ca="1" si="7"/>
        <v>On Time</v>
      </c>
    </row>
    <row r="86" spans="1:11" x14ac:dyDescent="0.25">
      <c r="A86" t="s">
        <v>1350</v>
      </c>
      <c r="B86" t="s">
        <v>387</v>
      </c>
      <c r="C86" t="s">
        <v>200</v>
      </c>
      <c r="D86" t="s">
        <v>230</v>
      </c>
      <c r="E86" t="s">
        <v>257</v>
      </c>
      <c r="F86">
        <f ca="1">VLOOKUP(B86, Orders!A:E, 3, FALSE) + RANDBETWEEN(0,2)</f>
        <v>45910</v>
      </c>
      <c r="G86">
        <f ca="1">F86+VLOOKUP(E86,Routes!A:D,4,FALSE)</f>
        <v>45913</v>
      </c>
      <c r="H86">
        <f t="shared" ca="1" si="4"/>
        <v>45913</v>
      </c>
      <c r="I86">
        <f t="shared" ca="1" si="5"/>
        <v>0</v>
      </c>
      <c r="J86" t="str">
        <f t="shared" ca="1" si="6"/>
        <v>On Time</v>
      </c>
      <c r="K86" t="str">
        <f t="shared" ca="1" si="7"/>
        <v>On Time</v>
      </c>
    </row>
    <row r="87" spans="1:11" x14ac:dyDescent="0.25">
      <c r="A87" t="s">
        <v>1351</v>
      </c>
      <c r="B87" t="s">
        <v>369</v>
      </c>
      <c r="C87" t="s">
        <v>206</v>
      </c>
      <c r="D87" t="s">
        <v>223</v>
      </c>
      <c r="E87" t="s">
        <v>247</v>
      </c>
      <c r="F87">
        <f ca="1">VLOOKUP(B87, Orders!A:E, 3, FALSE) + RANDBETWEEN(0,2)</f>
        <v>45907</v>
      </c>
      <c r="G87">
        <f ca="1">F87+VLOOKUP(E87,Routes!A:D,4,FALSE)</f>
        <v>45911</v>
      </c>
      <c r="H87">
        <f t="shared" ca="1" si="4"/>
        <v>45911</v>
      </c>
      <c r="I87">
        <f t="shared" ca="1" si="5"/>
        <v>0</v>
      </c>
      <c r="J87" t="str">
        <f t="shared" ca="1" si="6"/>
        <v>On Time</v>
      </c>
      <c r="K87" t="str">
        <f t="shared" ca="1" si="7"/>
        <v>On Time</v>
      </c>
    </row>
    <row r="88" spans="1:11" x14ac:dyDescent="0.25">
      <c r="A88" t="s">
        <v>1352</v>
      </c>
      <c r="B88" t="s">
        <v>369</v>
      </c>
      <c r="C88" t="s">
        <v>203</v>
      </c>
      <c r="D88" t="s">
        <v>230</v>
      </c>
      <c r="E88" t="s">
        <v>237</v>
      </c>
      <c r="F88">
        <f ca="1">VLOOKUP(B88, Orders!A:E, 3, FALSE) + RANDBETWEEN(0,2)</f>
        <v>45909</v>
      </c>
      <c r="G88">
        <f ca="1">F88+VLOOKUP(E88,Routes!A:D,4,FALSE)</f>
        <v>45911</v>
      </c>
      <c r="H88">
        <f t="shared" ca="1" si="4"/>
        <v>45912</v>
      </c>
      <c r="I88">
        <f t="shared" ca="1" si="5"/>
        <v>1</v>
      </c>
      <c r="J88" t="str">
        <f t="shared" ca="1" si="6"/>
        <v>Late</v>
      </c>
      <c r="K88" t="str">
        <f t="shared" ca="1" si="7"/>
        <v>Minor Delay</v>
      </c>
    </row>
    <row r="89" spans="1:11" x14ac:dyDescent="0.25">
      <c r="A89" t="s">
        <v>1353</v>
      </c>
      <c r="B89" t="s">
        <v>279</v>
      </c>
      <c r="C89" t="s">
        <v>206</v>
      </c>
      <c r="D89" t="s">
        <v>217</v>
      </c>
      <c r="E89" t="s">
        <v>249</v>
      </c>
      <c r="F89">
        <f ca="1">VLOOKUP(B89, Orders!A:E, 3, FALSE) + RANDBETWEEN(0,2)</f>
        <v>45851</v>
      </c>
      <c r="G89">
        <f ca="1">F89+VLOOKUP(E89,Routes!A:D,4,FALSE)</f>
        <v>45853</v>
      </c>
      <c r="H89">
        <f t="shared" ca="1" si="4"/>
        <v>45853</v>
      </c>
      <c r="I89">
        <f t="shared" ca="1" si="5"/>
        <v>0</v>
      </c>
      <c r="J89" t="str">
        <f t="shared" ca="1" si="6"/>
        <v>On Time</v>
      </c>
      <c r="K89" t="str">
        <f t="shared" ca="1" si="7"/>
        <v>On Time</v>
      </c>
    </row>
    <row r="90" spans="1:11" x14ac:dyDescent="0.25">
      <c r="A90" t="s">
        <v>1354</v>
      </c>
      <c r="B90" t="s">
        <v>316</v>
      </c>
      <c r="C90" t="s">
        <v>206</v>
      </c>
      <c r="D90" t="s">
        <v>220</v>
      </c>
      <c r="E90" t="s">
        <v>240</v>
      </c>
      <c r="F90">
        <f ca="1">VLOOKUP(B90, Orders!A:E, 3, FALSE) + RANDBETWEEN(0,2)</f>
        <v>46007</v>
      </c>
      <c r="G90">
        <f ca="1">F90+VLOOKUP(E90,Routes!A:D,4,FALSE)</f>
        <v>46011</v>
      </c>
      <c r="H90">
        <f t="shared" ca="1" si="4"/>
        <v>46011</v>
      </c>
      <c r="I90">
        <f t="shared" ca="1" si="5"/>
        <v>0</v>
      </c>
      <c r="J90" t="str">
        <f t="shared" ca="1" si="6"/>
        <v>On Time</v>
      </c>
      <c r="K90" t="str">
        <f t="shared" ca="1" si="7"/>
        <v>On Time</v>
      </c>
    </row>
    <row r="91" spans="1:11" x14ac:dyDescent="0.25">
      <c r="A91" t="s">
        <v>1355</v>
      </c>
      <c r="B91" t="s">
        <v>470</v>
      </c>
      <c r="C91" t="s">
        <v>206</v>
      </c>
      <c r="D91" t="s">
        <v>227</v>
      </c>
      <c r="E91" t="s">
        <v>244</v>
      </c>
      <c r="F91">
        <f ca="1">VLOOKUP(B91, Orders!A:E, 3, FALSE) + RANDBETWEEN(0,2)</f>
        <v>46005</v>
      </c>
      <c r="G91">
        <f ca="1">F91+VLOOKUP(E91,Routes!A:D,4,FALSE)</f>
        <v>46008</v>
      </c>
      <c r="H91">
        <f t="shared" ca="1" si="4"/>
        <v>46008</v>
      </c>
      <c r="I91">
        <f t="shared" ca="1" si="5"/>
        <v>0</v>
      </c>
      <c r="J91" t="str">
        <f t="shared" ca="1" si="6"/>
        <v>On Time</v>
      </c>
      <c r="K91" t="str">
        <f t="shared" ca="1" si="7"/>
        <v>On Time</v>
      </c>
    </row>
    <row r="92" spans="1:11" x14ac:dyDescent="0.25">
      <c r="A92" t="s">
        <v>1356</v>
      </c>
      <c r="B92" t="s">
        <v>278</v>
      </c>
      <c r="C92" t="s">
        <v>200</v>
      </c>
      <c r="D92" t="s">
        <v>227</v>
      </c>
      <c r="E92" t="s">
        <v>257</v>
      </c>
      <c r="F92">
        <f ca="1">VLOOKUP(B92, Orders!A:E, 3, FALSE) + RANDBETWEEN(0,2)</f>
        <v>45970</v>
      </c>
      <c r="G92">
        <f ca="1">F92+VLOOKUP(E92,Routes!A:D,4,FALSE)</f>
        <v>45973</v>
      </c>
      <c r="H92">
        <f t="shared" ca="1" si="4"/>
        <v>45973</v>
      </c>
      <c r="I92">
        <f t="shared" ca="1" si="5"/>
        <v>0</v>
      </c>
      <c r="J92" t="str">
        <f t="shared" ca="1" si="6"/>
        <v>On Time</v>
      </c>
      <c r="K92" t="str">
        <f t="shared" ca="1" si="7"/>
        <v>On Time</v>
      </c>
    </row>
    <row r="93" spans="1:11" x14ac:dyDescent="0.25">
      <c r="A93" t="s">
        <v>1357</v>
      </c>
      <c r="B93" t="s">
        <v>450</v>
      </c>
      <c r="C93" t="s">
        <v>203</v>
      </c>
      <c r="D93" t="s">
        <v>223</v>
      </c>
      <c r="E93" t="s">
        <v>251</v>
      </c>
      <c r="F93">
        <f ca="1">VLOOKUP(B93, Orders!A:E, 3, FALSE) + RANDBETWEEN(0,2)</f>
        <v>45819</v>
      </c>
      <c r="G93">
        <f ca="1">F93+VLOOKUP(E93,Routes!A:D,4,FALSE)</f>
        <v>45823</v>
      </c>
      <c r="H93">
        <f t="shared" ca="1" si="4"/>
        <v>45823</v>
      </c>
      <c r="I93">
        <f t="shared" ca="1" si="5"/>
        <v>0</v>
      </c>
      <c r="J93" t="str">
        <f t="shared" ca="1" si="6"/>
        <v>On Time</v>
      </c>
      <c r="K93" t="str">
        <f t="shared" ca="1" si="7"/>
        <v>On Time</v>
      </c>
    </row>
    <row r="94" spans="1:11" x14ac:dyDescent="0.25">
      <c r="A94" t="s">
        <v>1358</v>
      </c>
      <c r="B94" t="s">
        <v>448</v>
      </c>
      <c r="C94" t="s">
        <v>196</v>
      </c>
      <c r="D94" t="s">
        <v>220</v>
      </c>
      <c r="E94" t="s">
        <v>255</v>
      </c>
      <c r="F94">
        <f ca="1">VLOOKUP(B94, Orders!A:E, 3, FALSE) + RANDBETWEEN(0,2)</f>
        <v>46002</v>
      </c>
      <c r="G94">
        <f ca="1">F94+VLOOKUP(E94,Routes!A:D,4,FALSE)</f>
        <v>46005</v>
      </c>
      <c r="H94">
        <f t="shared" ca="1" si="4"/>
        <v>46005</v>
      </c>
      <c r="I94">
        <f t="shared" ca="1" si="5"/>
        <v>0</v>
      </c>
      <c r="J94" t="str">
        <f t="shared" ca="1" si="6"/>
        <v>On Time</v>
      </c>
      <c r="K94" t="str">
        <f t="shared" ca="1" si="7"/>
        <v>On Time</v>
      </c>
    </row>
    <row r="95" spans="1:11" x14ac:dyDescent="0.25">
      <c r="A95" t="s">
        <v>1359</v>
      </c>
      <c r="B95" t="s">
        <v>487</v>
      </c>
      <c r="C95" t="s">
        <v>206</v>
      </c>
      <c r="D95" t="s">
        <v>213</v>
      </c>
      <c r="E95" t="s">
        <v>249</v>
      </c>
      <c r="F95">
        <f ca="1">VLOOKUP(B95, Orders!A:E, 3, FALSE) + RANDBETWEEN(0,2)</f>
        <v>45942</v>
      </c>
      <c r="G95">
        <f ca="1">F95+VLOOKUP(E95,Routes!A:D,4,FALSE)</f>
        <v>45944</v>
      </c>
      <c r="H95">
        <f t="shared" ca="1" si="4"/>
        <v>45944</v>
      </c>
      <c r="I95">
        <f t="shared" ca="1" si="5"/>
        <v>0</v>
      </c>
      <c r="J95" t="str">
        <f t="shared" ca="1" si="6"/>
        <v>On Time</v>
      </c>
      <c r="K95" t="str">
        <f t="shared" ca="1" si="7"/>
        <v>On Time</v>
      </c>
    </row>
    <row r="96" spans="1:11" x14ac:dyDescent="0.25">
      <c r="A96" t="s">
        <v>1360</v>
      </c>
      <c r="B96" t="s">
        <v>288</v>
      </c>
      <c r="C96" t="s">
        <v>196</v>
      </c>
      <c r="D96" t="s">
        <v>217</v>
      </c>
      <c r="E96" t="s">
        <v>255</v>
      </c>
      <c r="F96">
        <f ca="1">VLOOKUP(B96, Orders!A:E, 3, FALSE) + RANDBETWEEN(0,2)</f>
        <v>45791</v>
      </c>
      <c r="G96">
        <f ca="1">F96+VLOOKUP(E96,Routes!A:D,4,FALSE)</f>
        <v>45794</v>
      </c>
      <c r="H96">
        <f t="shared" ca="1" si="4"/>
        <v>45795</v>
      </c>
      <c r="I96">
        <f t="shared" ca="1" si="5"/>
        <v>1</v>
      </c>
      <c r="J96" t="str">
        <f t="shared" ca="1" si="6"/>
        <v>Late</v>
      </c>
      <c r="K96" t="str">
        <f t="shared" ca="1" si="7"/>
        <v>Minor Delay</v>
      </c>
    </row>
    <row r="97" spans="1:11" x14ac:dyDescent="0.25">
      <c r="A97" t="s">
        <v>1361</v>
      </c>
      <c r="B97" t="s">
        <v>497</v>
      </c>
      <c r="C97" t="s">
        <v>196</v>
      </c>
      <c r="D97" t="s">
        <v>227</v>
      </c>
      <c r="E97" t="s">
        <v>244</v>
      </c>
      <c r="F97">
        <f ca="1">VLOOKUP(B97, Orders!A:E, 3, FALSE) + RANDBETWEEN(0,2)</f>
        <v>45841</v>
      </c>
      <c r="G97">
        <f ca="1">F97+VLOOKUP(E97,Routes!A:D,4,FALSE)</f>
        <v>45844</v>
      </c>
      <c r="H97">
        <f t="shared" ca="1" si="4"/>
        <v>45844</v>
      </c>
      <c r="I97">
        <f t="shared" ca="1" si="5"/>
        <v>0</v>
      </c>
      <c r="J97" t="str">
        <f t="shared" ca="1" si="6"/>
        <v>On Time</v>
      </c>
      <c r="K97" t="str">
        <f t="shared" ca="1" si="7"/>
        <v>On Time</v>
      </c>
    </row>
    <row r="98" spans="1:11" x14ac:dyDescent="0.25">
      <c r="A98" t="s">
        <v>1362</v>
      </c>
      <c r="B98" t="s">
        <v>427</v>
      </c>
      <c r="C98" t="s">
        <v>196</v>
      </c>
      <c r="D98" t="s">
        <v>213</v>
      </c>
      <c r="E98" t="s">
        <v>253</v>
      </c>
      <c r="F98">
        <f ca="1">VLOOKUP(B98, Orders!A:E, 3, FALSE) + RANDBETWEEN(0,2)</f>
        <v>45957</v>
      </c>
      <c r="G98">
        <f ca="1">F98+VLOOKUP(E98,Routes!A:D,4,FALSE)</f>
        <v>45961</v>
      </c>
      <c r="H98">
        <f t="shared" ca="1" si="4"/>
        <v>45961</v>
      </c>
      <c r="I98">
        <f t="shared" ca="1" si="5"/>
        <v>0</v>
      </c>
      <c r="J98" t="str">
        <f t="shared" ca="1" si="6"/>
        <v>On Time</v>
      </c>
      <c r="K98" t="str">
        <f t="shared" ca="1" si="7"/>
        <v>On Time</v>
      </c>
    </row>
    <row r="99" spans="1:11" x14ac:dyDescent="0.25">
      <c r="A99" t="s">
        <v>1363</v>
      </c>
      <c r="B99" t="s">
        <v>413</v>
      </c>
      <c r="C99" t="s">
        <v>203</v>
      </c>
      <c r="D99" t="s">
        <v>217</v>
      </c>
      <c r="E99" t="s">
        <v>244</v>
      </c>
      <c r="F99">
        <f ca="1">VLOOKUP(B99, Orders!A:E, 3, FALSE) + RANDBETWEEN(0,2)</f>
        <v>45992</v>
      </c>
      <c r="G99">
        <f ca="1">F99+VLOOKUP(E99,Routes!A:D,4,FALSE)</f>
        <v>45995</v>
      </c>
      <c r="H99">
        <f t="shared" ca="1" si="4"/>
        <v>45995</v>
      </c>
      <c r="I99">
        <f t="shared" ca="1" si="5"/>
        <v>0</v>
      </c>
      <c r="J99" t="str">
        <f t="shared" ca="1" si="6"/>
        <v>On Time</v>
      </c>
      <c r="K99" t="str">
        <f t="shared" ca="1" si="7"/>
        <v>On Time</v>
      </c>
    </row>
    <row r="100" spans="1:11" x14ac:dyDescent="0.25">
      <c r="A100" t="s">
        <v>1364</v>
      </c>
      <c r="B100" t="s">
        <v>372</v>
      </c>
      <c r="C100" t="s">
        <v>192</v>
      </c>
      <c r="D100" t="s">
        <v>227</v>
      </c>
      <c r="E100" t="s">
        <v>259</v>
      </c>
      <c r="F100">
        <f ca="1">VLOOKUP(B100, Orders!A:E, 3, FALSE) + RANDBETWEEN(0,2)</f>
        <v>45958</v>
      </c>
      <c r="G100">
        <f ca="1">F100+VLOOKUP(E100,Routes!A:D,4,FALSE)</f>
        <v>45960</v>
      </c>
      <c r="H100">
        <f t="shared" ca="1" si="4"/>
        <v>45960</v>
      </c>
      <c r="I100">
        <f t="shared" ca="1" si="5"/>
        <v>0</v>
      </c>
      <c r="J100" t="str">
        <f t="shared" ca="1" si="6"/>
        <v>On Time</v>
      </c>
      <c r="K100" t="str">
        <f t="shared" ca="1" si="7"/>
        <v>On Time</v>
      </c>
    </row>
    <row r="101" spans="1:11" x14ac:dyDescent="0.25">
      <c r="A101" t="s">
        <v>1365</v>
      </c>
      <c r="B101" t="s">
        <v>507</v>
      </c>
      <c r="C101" t="s">
        <v>192</v>
      </c>
      <c r="D101" t="s">
        <v>213</v>
      </c>
      <c r="E101" t="s">
        <v>249</v>
      </c>
      <c r="F101">
        <f ca="1">VLOOKUP(B101, Orders!A:E, 3, FALSE) + RANDBETWEEN(0,2)</f>
        <v>45813</v>
      </c>
      <c r="G101">
        <f ca="1">F101+VLOOKUP(E101,Routes!A:D,4,FALSE)</f>
        <v>45815</v>
      </c>
      <c r="H101">
        <f t="shared" ca="1" si="4"/>
        <v>45815</v>
      </c>
      <c r="I101">
        <f t="shared" ca="1" si="5"/>
        <v>0</v>
      </c>
      <c r="J101" t="str">
        <f t="shared" ca="1" si="6"/>
        <v>On Time</v>
      </c>
      <c r="K101" t="str">
        <f t="shared" ca="1" si="7"/>
        <v>On Time</v>
      </c>
    </row>
    <row r="102" spans="1:11" x14ac:dyDescent="0.25">
      <c r="A102" t="s">
        <v>1366</v>
      </c>
      <c r="B102" t="s">
        <v>298</v>
      </c>
      <c r="C102" t="s">
        <v>196</v>
      </c>
      <c r="D102" t="s">
        <v>223</v>
      </c>
      <c r="E102" t="s">
        <v>247</v>
      </c>
      <c r="F102">
        <f ca="1">VLOOKUP(B102, Orders!A:E, 3, FALSE) + RANDBETWEEN(0,2)</f>
        <v>46035</v>
      </c>
      <c r="G102">
        <f ca="1">F102+VLOOKUP(E102,Routes!A:D,4,FALSE)</f>
        <v>46039</v>
      </c>
      <c r="H102">
        <f t="shared" ca="1" si="4"/>
        <v>46039</v>
      </c>
      <c r="I102">
        <f t="shared" ca="1" si="5"/>
        <v>0</v>
      </c>
      <c r="J102" t="str">
        <f t="shared" ca="1" si="6"/>
        <v>On Time</v>
      </c>
      <c r="K102" t="str">
        <f t="shared" ca="1" si="7"/>
        <v>On Time</v>
      </c>
    </row>
    <row r="103" spans="1:11" x14ac:dyDescent="0.25">
      <c r="A103" t="s">
        <v>1367</v>
      </c>
      <c r="B103" t="s">
        <v>318</v>
      </c>
      <c r="C103" t="s">
        <v>200</v>
      </c>
      <c r="D103" t="s">
        <v>217</v>
      </c>
      <c r="E103" t="s">
        <v>246</v>
      </c>
      <c r="F103">
        <f ca="1">VLOOKUP(B103, Orders!A:E, 3, FALSE) + RANDBETWEEN(0,2)</f>
        <v>45836</v>
      </c>
      <c r="G103">
        <f ca="1">F103+VLOOKUP(E103,Routes!A:D,4,FALSE)</f>
        <v>45839</v>
      </c>
      <c r="H103">
        <f t="shared" ca="1" si="4"/>
        <v>45842</v>
      </c>
      <c r="I103">
        <f t="shared" ca="1" si="5"/>
        <v>3</v>
      </c>
      <c r="J103" t="str">
        <f t="shared" ca="1" si="6"/>
        <v>Late</v>
      </c>
      <c r="K103" t="str">
        <f t="shared" ca="1" si="7"/>
        <v>Major Delay</v>
      </c>
    </row>
    <row r="104" spans="1:11" x14ac:dyDescent="0.25">
      <c r="A104" t="s">
        <v>1368</v>
      </c>
      <c r="B104" t="s">
        <v>402</v>
      </c>
      <c r="C104" t="s">
        <v>196</v>
      </c>
      <c r="D104" t="s">
        <v>220</v>
      </c>
      <c r="E104" t="s">
        <v>240</v>
      </c>
      <c r="F104">
        <f ca="1">VLOOKUP(B104, Orders!A:E, 3, FALSE) + RANDBETWEEN(0,2)</f>
        <v>45883</v>
      </c>
      <c r="G104">
        <f ca="1">F104+VLOOKUP(E104,Routes!A:D,4,FALSE)</f>
        <v>45887</v>
      </c>
      <c r="H104">
        <f t="shared" ca="1" si="4"/>
        <v>45887</v>
      </c>
      <c r="I104">
        <f t="shared" ca="1" si="5"/>
        <v>0</v>
      </c>
      <c r="J104" t="str">
        <f t="shared" ca="1" si="6"/>
        <v>On Time</v>
      </c>
      <c r="K104" t="str">
        <f t="shared" ca="1" si="7"/>
        <v>On Time</v>
      </c>
    </row>
    <row r="105" spans="1:11" x14ac:dyDescent="0.25">
      <c r="A105" t="s">
        <v>1369</v>
      </c>
      <c r="B105" t="s">
        <v>361</v>
      </c>
      <c r="C105" t="s">
        <v>192</v>
      </c>
      <c r="D105" t="s">
        <v>217</v>
      </c>
      <c r="E105" t="s">
        <v>240</v>
      </c>
      <c r="F105">
        <f ca="1">VLOOKUP(B105, Orders!A:E, 3, FALSE) + RANDBETWEEN(0,2)</f>
        <v>46028</v>
      </c>
      <c r="G105">
        <f ca="1">F105+VLOOKUP(E105,Routes!A:D,4,FALSE)</f>
        <v>46032</v>
      </c>
      <c r="H105">
        <f t="shared" ca="1" si="4"/>
        <v>46036</v>
      </c>
      <c r="I105">
        <f t="shared" ca="1" si="5"/>
        <v>4</v>
      </c>
      <c r="J105" t="str">
        <f t="shared" ca="1" si="6"/>
        <v>Late</v>
      </c>
      <c r="K105" t="str">
        <f t="shared" ca="1" si="7"/>
        <v>Major Delay</v>
      </c>
    </row>
    <row r="106" spans="1:11" x14ac:dyDescent="0.25">
      <c r="A106" t="s">
        <v>1370</v>
      </c>
      <c r="B106" t="s">
        <v>307</v>
      </c>
      <c r="C106" t="s">
        <v>203</v>
      </c>
      <c r="D106" t="s">
        <v>217</v>
      </c>
      <c r="E106" t="s">
        <v>244</v>
      </c>
      <c r="F106">
        <f ca="1">VLOOKUP(B106, Orders!A:E, 3, FALSE) + RANDBETWEEN(0,2)</f>
        <v>45869</v>
      </c>
      <c r="G106">
        <f ca="1">F106+VLOOKUP(E106,Routes!A:D,4,FALSE)</f>
        <v>45872</v>
      </c>
      <c r="H106">
        <f t="shared" ca="1" si="4"/>
        <v>45872</v>
      </c>
      <c r="I106">
        <f t="shared" ca="1" si="5"/>
        <v>0</v>
      </c>
      <c r="J106" t="str">
        <f t="shared" ca="1" si="6"/>
        <v>On Time</v>
      </c>
      <c r="K106" t="str">
        <f t="shared" ca="1" si="7"/>
        <v>On Time</v>
      </c>
    </row>
    <row r="107" spans="1:11" x14ac:dyDescent="0.25">
      <c r="A107" t="s">
        <v>1371</v>
      </c>
      <c r="B107" t="s">
        <v>392</v>
      </c>
      <c r="C107" t="s">
        <v>196</v>
      </c>
      <c r="D107" t="s">
        <v>230</v>
      </c>
      <c r="E107" t="s">
        <v>247</v>
      </c>
      <c r="F107">
        <f ca="1">VLOOKUP(B107, Orders!A:E, 3, FALSE) + RANDBETWEEN(0,2)</f>
        <v>45867</v>
      </c>
      <c r="G107">
        <f ca="1">F107+VLOOKUP(E107,Routes!A:D,4,FALSE)</f>
        <v>45871</v>
      </c>
      <c r="H107">
        <f t="shared" ca="1" si="4"/>
        <v>45871</v>
      </c>
      <c r="I107">
        <f t="shared" ca="1" si="5"/>
        <v>0</v>
      </c>
      <c r="J107" t="str">
        <f t="shared" ca="1" si="6"/>
        <v>On Time</v>
      </c>
      <c r="K107" t="str">
        <f t="shared" ca="1" si="7"/>
        <v>On Time</v>
      </c>
    </row>
    <row r="108" spans="1:11" x14ac:dyDescent="0.25">
      <c r="A108" t="s">
        <v>1372</v>
      </c>
      <c r="B108" t="s">
        <v>289</v>
      </c>
      <c r="C108" t="s">
        <v>203</v>
      </c>
      <c r="D108" t="s">
        <v>220</v>
      </c>
      <c r="E108" t="s">
        <v>247</v>
      </c>
      <c r="F108">
        <f ca="1">VLOOKUP(B108, Orders!A:E, 3, FALSE) + RANDBETWEEN(0,2)</f>
        <v>45795</v>
      </c>
      <c r="G108">
        <f ca="1">F108+VLOOKUP(E108,Routes!A:D,4,FALSE)</f>
        <v>45799</v>
      </c>
      <c r="H108">
        <f t="shared" ca="1" si="4"/>
        <v>45799</v>
      </c>
      <c r="I108">
        <f t="shared" ca="1" si="5"/>
        <v>0</v>
      </c>
      <c r="J108" t="str">
        <f t="shared" ca="1" si="6"/>
        <v>On Time</v>
      </c>
      <c r="K108" t="str">
        <f t="shared" ca="1" si="7"/>
        <v>On Time</v>
      </c>
    </row>
    <row r="109" spans="1:11" x14ac:dyDescent="0.25">
      <c r="A109" t="s">
        <v>1373</v>
      </c>
      <c r="B109" t="s">
        <v>327</v>
      </c>
      <c r="C109" t="s">
        <v>203</v>
      </c>
      <c r="D109" t="s">
        <v>230</v>
      </c>
      <c r="E109" t="s">
        <v>257</v>
      </c>
      <c r="F109">
        <f ca="1">VLOOKUP(B109, Orders!A:E, 3, FALSE) + RANDBETWEEN(0,2)</f>
        <v>45992</v>
      </c>
      <c r="G109">
        <f ca="1">F109+VLOOKUP(E109,Routes!A:D,4,FALSE)</f>
        <v>45995</v>
      </c>
      <c r="H109">
        <f t="shared" ca="1" si="4"/>
        <v>45998</v>
      </c>
      <c r="I109">
        <f t="shared" ca="1" si="5"/>
        <v>3</v>
      </c>
      <c r="J109" t="str">
        <f t="shared" ca="1" si="6"/>
        <v>Late</v>
      </c>
      <c r="K109" t="str">
        <f t="shared" ca="1" si="7"/>
        <v>Major Delay</v>
      </c>
    </row>
    <row r="110" spans="1:11" x14ac:dyDescent="0.25">
      <c r="A110" t="s">
        <v>1374</v>
      </c>
      <c r="B110" t="s">
        <v>507</v>
      </c>
      <c r="C110" t="s">
        <v>200</v>
      </c>
      <c r="D110" t="s">
        <v>217</v>
      </c>
      <c r="E110" t="s">
        <v>257</v>
      </c>
      <c r="F110">
        <f ca="1">VLOOKUP(B110, Orders!A:E, 3, FALSE) + RANDBETWEEN(0,2)</f>
        <v>45813</v>
      </c>
      <c r="G110">
        <f ca="1">F110+VLOOKUP(E110,Routes!A:D,4,FALSE)</f>
        <v>45816</v>
      </c>
      <c r="H110">
        <f t="shared" ca="1" si="4"/>
        <v>45816</v>
      </c>
      <c r="I110">
        <f t="shared" ca="1" si="5"/>
        <v>0</v>
      </c>
      <c r="J110" t="str">
        <f t="shared" ca="1" si="6"/>
        <v>On Time</v>
      </c>
      <c r="K110" t="str">
        <f t="shared" ca="1" si="7"/>
        <v>On Time</v>
      </c>
    </row>
    <row r="111" spans="1:11" x14ac:dyDescent="0.25">
      <c r="A111" t="s">
        <v>1375</v>
      </c>
      <c r="B111" t="s">
        <v>331</v>
      </c>
      <c r="C111" t="s">
        <v>200</v>
      </c>
      <c r="D111" t="s">
        <v>217</v>
      </c>
      <c r="E111" t="s">
        <v>242</v>
      </c>
      <c r="F111">
        <f ca="1">VLOOKUP(B111, Orders!A:E, 3, FALSE) + RANDBETWEEN(0,2)</f>
        <v>45986</v>
      </c>
      <c r="G111">
        <f ca="1">F111+VLOOKUP(E111,Routes!A:D,4,FALSE)</f>
        <v>45990</v>
      </c>
      <c r="H111">
        <f t="shared" ca="1" si="4"/>
        <v>45990</v>
      </c>
      <c r="I111">
        <f t="shared" ca="1" si="5"/>
        <v>0</v>
      </c>
      <c r="J111" t="str">
        <f t="shared" ca="1" si="6"/>
        <v>On Time</v>
      </c>
      <c r="K111" t="str">
        <f t="shared" ca="1" si="7"/>
        <v>On Time</v>
      </c>
    </row>
    <row r="112" spans="1:11" x14ac:dyDescent="0.25">
      <c r="A112" t="s">
        <v>1376</v>
      </c>
      <c r="B112" t="s">
        <v>278</v>
      </c>
      <c r="C112" t="s">
        <v>203</v>
      </c>
      <c r="D112" t="s">
        <v>230</v>
      </c>
      <c r="E112" t="s">
        <v>253</v>
      </c>
      <c r="F112">
        <f ca="1">VLOOKUP(B112, Orders!A:E, 3, FALSE) + RANDBETWEEN(0,2)</f>
        <v>45970</v>
      </c>
      <c r="G112">
        <f ca="1">F112+VLOOKUP(E112,Routes!A:D,4,FALSE)</f>
        <v>45974</v>
      </c>
      <c r="H112">
        <f t="shared" ca="1" si="4"/>
        <v>45974</v>
      </c>
      <c r="I112">
        <f t="shared" ca="1" si="5"/>
        <v>0</v>
      </c>
      <c r="J112" t="str">
        <f t="shared" ca="1" si="6"/>
        <v>On Time</v>
      </c>
      <c r="K112" t="str">
        <f t="shared" ca="1" si="7"/>
        <v>On Time</v>
      </c>
    </row>
    <row r="113" spans="1:11" x14ac:dyDescent="0.25">
      <c r="A113" t="s">
        <v>1377</v>
      </c>
      <c r="B113" t="s">
        <v>363</v>
      </c>
      <c r="C113" t="s">
        <v>206</v>
      </c>
      <c r="D113" t="s">
        <v>220</v>
      </c>
      <c r="E113" t="s">
        <v>242</v>
      </c>
      <c r="F113">
        <f ca="1">VLOOKUP(B113, Orders!A:E, 3, FALSE) + RANDBETWEEN(0,2)</f>
        <v>46042</v>
      </c>
      <c r="G113">
        <f ca="1">F113+VLOOKUP(E113,Routes!A:D,4,FALSE)</f>
        <v>46046</v>
      </c>
      <c r="H113">
        <f t="shared" ca="1" si="4"/>
        <v>46046</v>
      </c>
      <c r="I113">
        <f t="shared" ca="1" si="5"/>
        <v>0</v>
      </c>
      <c r="J113" t="str">
        <f t="shared" ca="1" si="6"/>
        <v>On Time</v>
      </c>
      <c r="K113" t="str">
        <f t="shared" ca="1" si="7"/>
        <v>On Time</v>
      </c>
    </row>
    <row r="114" spans="1:11" x14ac:dyDescent="0.25">
      <c r="A114" t="s">
        <v>1378</v>
      </c>
      <c r="B114" t="s">
        <v>500</v>
      </c>
      <c r="C114" t="s">
        <v>192</v>
      </c>
      <c r="D114" t="s">
        <v>223</v>
      </c>
      <c r="E114" t="s">
        <v>253</v>
      </c>
      <c r="F114">
        <f ca="1">VLOOKUP(B114, Orders!A:E, 3, FALSE) + RANDBETWEEN(0,2)</f>
        <v>45948</v>
      </c>
      <c r="G114">
        <f ca="1">F114+VLOOKUP(E114,Routes!A:D,4,FALSE)</f>
        <v>45952</v>
      </c>
      <c r="H114">
        <f t="shared" ca="1" si="4"/>
        <v>45952</v>
      </c>
      <c r="I114">
        <f t="shared" ca="1" si="5"/>
        <v>0</v>
      </c>
      <c r="J114" t="str">
        <f t="shared" ca="1" si="6"/>
        <v>On Time</v>
      </c>
      <c r="K114" t="str">
        <f t="shared" ca="1" si="7"/>
        <v>On Time</v>
      </c>
    </row>
    <row r="115" spans="1:11" x14ac:dyDescent="0.25">
      <c r="A115" t="s">
        <v>1379</v>
      </c>
      <c r="B115" t="s">
        <v>495</v>
      </c>
      <c r="C115" t="s">
        <v>200</v>
      </c>
      <c r="D115" t="s">
        <v>217</v>
      </c>
      <c r="E115" t="s">
        <v>253</v>
      </c>
      <c r="F115">
        <f ca="1">VLOOKUP(B115, Orders!A:E, 3, FALSE) + RANDBETWEEN(0,2)</f>
        <v>45876</v>
      </c>
      <c r="G115">
        <f ca="1">F115+VLOOKUP(E115,Routes!A:D,4,FALSE)</f>
        <v>45880</v>
      </c>
      <c r="H115">
        <f t="shared" ca="1" si="4"/>
        <v>45880</v>
      </c>
      <c r="I115">
        <f t="shared" ca="1" si="5"/>
        <v>0</v>
      </c>
      <c r="J115" t="str">
        <f t="shared" ca="1" si="6"/>
        <v>On Time</v>
      </c>
      <c r="K115" t="str">
        <f t="shared" ca="1" si="7"/>
        <v>On Time</v>
      </c>
    </row>
    <row r="116" spans="1:11" x14ac:dyDescent="0.25">
      <c r="A116" t="s">
        <v>1380</v>
      </c>
      <c r="B116" t="s">
        <v>416</v>
      </c>
      <c r="C116" t="s">
        <v>203</v>
      </c>
      <c r="D116" t="s">
        <v>230</v>
      </c>
      <c r="E116" t="s">
        <v>253</v>
      </c>
      <c r="F116">
        <f ca="1">VLOOKUP(B116, Orders!A:E, 3, FALSE) + RANDBETWEEN(0,2)</f>
        <v>45787</v>
      </c>
      <c r="G116">
        <f ca="1">F116+VLOOKUP(E116,Routes!A:D,4,FALSE)</f>
        <v>45791</v>
      </c>
      <c r="H116">
        <f t="shared" ca="1" si="4"/>
        <v>45791</v>
      </c>
      <c r="I116">
        <f t="shared" ca="1" si="5"/>
        <v>0</v>
      </c>
      <c r="J116" t="str">
        <f t="shared" ca="1" si="6"/>
        <v>On Time</v>
      </c>
      <c r="K116" t="str">
        <f t="shared" ca="1" si="7"/>
        <v>On Time</v>
      </c>
    </row>
    <row r="117" spans="1:11" x14ac:dyDescent="0.25">
      <c r="A117" t="s">
        <v>1381</v>
      </c>
      <c r="B117" t="s">
        <v>427</v>
      </c>
      <c r="C117" t="s">
        <v>192</v>
      </c>
      <c r="D117" t="s">
        <v>213</v>
      </c>
      <c r="E117" t="s">
        <v>257</v>
      </c>
      <c r="F117">
        <f ca="1">VLOOKUP(B117, Orders!A:E, 3, FALSE) + RANDBETWEEN(0,2)</f>
        <v>45957</v>
      </c>
      <c r="G117">
        <f ca="1">F117+VLOOKUP(E117,Routes!A:D,4,FALSE)</f>
        <v>45960</v>
      </c>
      <c r="H117">
        <f t="shared" ca="1" si="4"/>
        <v>45961</v>
      </c>
      <c r="I117">
        <f t="shared" ca="1" si="5"/>
        <v>1</v>
      </c>
      <c r="J117" t="str">
        <f t="shared" ca="1" si="6"/>
        <v>Late</v>
      </c>
      <c r="K117" t="str">
        <f t="shared" ca="1" si="7"/>
        <v>Minor Delay</v>
      </c>
    </row>
    <row r="118" spans="1:11" x14ac:dyDescent="0.25">
      <c r="A118" t="s">
        <v>1382</v>
      </c>
      <c r="B118" t="s">
        <v>279</v>
      </c>
      <c r="C118" t="s">
        <v>203</v>
      </c>
      <c r="D118" t="s">
        <v>220</v>
      </c>
      <c r="E118" t="s">
        <v>240</v>
      </c>
      <c r="F118">
        <f ca="1">VLOOKUP(B118, Orders!A:E, 3, FALSE) + RANDBETWEEN(0,2)</f>
        <v>45852</v>
      </c>
      <c r="G118">
        <f ca="1">F118+VLOOKUP(E118,Routes!A:D,4,FALSE)</f>
        <v>45856</v>
      </c>
      <c r="H118">
        <f t="shared" ca="1" si="4"/>
        <v>45856</v>
      </c>
      <c r="I118">
        <f t="shared" ca="1" si="5"/>
        <v>0</v>
      </c>
      <c r="J118" t="str">
        <f t="shared" ca="1" si="6"/>
        <v>On Time</v>
      </c>
      <c r="K118" t="str">
        <f t="shared" ca="1" si="7"/>
        <v>On Time</v>
      </c>
    </row>
    <row r="119" spans="1:11" x14ac:dyDescent="0.25">
      <c r="A119" t="s">
        <v>1383</v>
      </c>
      <c r="B119" t="s">
        <v>507</v>
      </c>
      <c r="C119" t="s">
        <v>196</v>
      </c>
      <c r="D119" t="s">
        <v>227</v>
      </c>
      <c r="E119" t="s">
        <v>237</v>
      </c>
      <c r="F119">
        <f ca="1">VLOOKUP(B119, Orders!A:E, 3, FALSE) + RANDBETWEEN(0,2)</f>
        <v>45813</v>
      </c>
      <c r="G119">
        <f ca="1">F119+VLOOKUP(E119,Routes!A:D,4,FALSE)</f>
        <v>45815</v>
      </c>
      <c r="H119">
        <f t="shared" ca="1" si="4"/>
        <v>45819</v>
      </c>
      <c r="I119">
        <f t="shared" ca="1" si="5"/>
        <v>4</v>
      </c>
      <c r="J119" t="str">
        <f t="shared" ca="1" si="6"/>
        <v>Late</v>
      </c>
      <c r="K119" t="str">
        <f t="shared" ca="1" si="7"/>
        <v>Major Delay</v>
      </c>
    </row>
    <row r="120" spans="1:11" x14ac:dyDescent="0.25">
      <c r="A120" t="s">
        <v>1384</v>
      </c>
      <c r="B120" t="s">
        <v>275</v>
      </c>
      <c r="C120" t="s">
        <v>203</v>
      </c>
      <c r="D120" t="s">
        <v>220</v>
      </c>
      <c r="E120" t="s">
        <v>251</v>
      </c>
      <c r="F120">
        <f ca="1">VLOOKUP(B120, Orders!A:E, 3, FALSE) + RANDBETWEEN(0,2)</f>
        <v>46052</v>
      </c>
      <c r="G120">
        <f ca="1">F120+VLOOKUP(E120,Routes!A:D,4,FALSE)</f>
        <v>46056</v>
      </c>
      <c r="H120">
        <f t="shared" ca="1" si="4"/>
        <v>46056</v>
      </c>
      <c r="I120">
        <f t="shared" ca="1" si="5"/>
        <v>0</v>
      </c>
      <c r="J120" t="str">
        <f t="shared" ca="1" si="6"/>
        <v>On Time</v>
      </c>
      <c r="K120" t="str">
        <f t="shared" ca="1" si="7"/>
        <v>On Time</v>
      </c>
    </row>
    <row r="121" spans="1:11" x14ac:dyDescent="0.25">
      <c r="A121" t="s">
        <v>1385</v>
      </c>
      <c r="B121" t="s">
        <v>481</v>
      </c>
      <c r="C121" t="s">
        <v>203</v>
      </c>
      <c r="D121" t="s">
        <v>230</v>
      </c>
      <c r="E121" t="s">
        <v>242</v>
      </c>
      <c r="F121">
        <f ca="1">VLOOKUP(B121, Orders!A:E, 3, FALSE) + RANDBETWEEN(0,2)</f>
        <v>45988</v>
      </c>
      <c r="G121">
        <f ca="1">F121+VLOOKUP(E121,Routes!A:D,4,FALSE)</f>
        <v>45992</v>
      </c>
      <c r="H121">
        <f t="shared" ca="1" si="4"/>
        <v>45992</v>
      </c>
      <c r="I121">
        <f t="shared" ca="1" si="5"/>
        <v>0</v>
      </c>
      <c r="J121" t="str">
        <f t="shared" ca="1" si="6"/>
        <v>On Time</v>
      </c>
      <c r="K121" t="str">
        <f t="shared" ca="1" si="7"/>
        <v>On Time</v>
      </c>
    </row>
    <row r="122" spans="1:11" x14ac:dyDescent="0.25">
      <c r="A122" t="s">
        <v>1386</v>
      </c>
      <c r="B122" t="s">
        <v>312</v>
      </c>
      <c r="C122" t="s">
        <v>203</v>
      </c>
      <c r="D122" t="s">
        <v>217</v>
      </c>
      <c r="E122" t="s">
        <v>247</v>
      </c>
      <c r="F122">
        <f ca="1">VLOOKUP(B122, Orders!A:E, 3, FALSE) + RANDBETWEEN(0,2)</f>
        <v>45865</v>
      </c>
      <c r="G122">
        <f ca="1">F122+VLOOKUP(E122,Routes!A:D,4,FALSE)</f>
        <v>45869</v>
      </c>
      <c r="H122">
        <f t="shared" ca="1" si="4"/>
        <v>45869</v>
      </c>
      <c r="I122">
        <f t="shared" ca="1" si="5"/>
        <v>0</v>
      </c>
      <c r="J122" t="str">
        <f t="shared" ca="1" si="6"/>
        <v>On Time</v>
      </c>
      <c r="K122" t="str">
        <f t="shared" ca="1" si="7"/>
        <v>On Time</v>
      </c>
    </row>
    <row r="123" spans="1:11" x14ac:dyDescent="0.25">
      <c r="A123" t="s">
        <v>1387</v>
      </c>
      <c r="B123" t="s">
        <v>490</v>
      </c>
      <c r="C123" t="s">
        <v>192</v>
      </c>
      <c r="D123" t="s">
        <v>217</v>
      </c>
      <c r="E123" t="s">
        <v>251</v>
      </c>
      <c r="F123">
        <f ca="1">VLOOKUP(B123, Orders!A:E, 3, FALSE) + RANDBETWEEN(0,2)</f>
        <v>46037</v>
      </c>
      <c r="G123">
        <f ca="1">F123+VLOOKUP(E123,Routes!A:D,4,FALSE)</f>
        <v>46041</v>
      </c>
      <c r="H123">
        <f t="shared" ca="1" si="4"/>
        <v>46041</v>
      </c>
      <c r="I123">
        <f t="shared" ca="1" si="5"/>
        <v>0</v>
      </c>
      <c r="J123" t="str">
        <f t="shared" ca="1" si="6"/>
        <v>On Time</v>
      </c>
      <c r="K123" t="str">
        <f t="shared" ca="1" si="7"/>
        <v>On Time</v>
      </c>
    </row>
    <row r="124" spans="1:11" x14ac:dyDescent="0.25">
      <c r="A124" t="s">
        <v>1388</v>
      </c>
      <c r="B124" t="s">
        <v>297</v>
      </c>
      <c r="C124" t="s">
        <v>203</v>
      </c>
      <c r="D124" t="s">
        <v>220</v>
      </c>
      <c r="E124" t="s">
        <v>246</v>
      </c>
      <c r="F124">
        <f ca="1">VLOOKUP(B124, Orders!A:E, 3, FALSE) + RANDBETWEEN(0,2)</f>
        <v>45823</v>
      </c>
      <c r="G124">
        <f ca="1">F124+VLOOKUP(E124,Routes!A:D,4,FALSE)</f>
        <v>45826</v>
      </c>
      <c r="H124">
        <f t="shared" ca="1" si="4"/>
        <v>45826</v>
      </c>
      <c r="I124">
        <f t="shared" ca="1" si="5"/>
        <v>0</v>
      </c>
      <c r="J124" t="str">
        <f t="shared" ca="1" si="6"/>
        <v>On Time</v>
      </c>
      <c r="K124" t="str">
        <f t="shared" ca="1" si="7"/>
        <v>On Time</v>
      </c>
    </row>
    <row r="125" spans="1:11" x14ac:dyDescent="0.25">
      <c r="A125" t="s">
        <v>1389</v>
      </c>
      <c r="B125" t="s">
        <v>317</v>
      </c>
      <c r="C125" t="s">
        <v>192</v>
      </c>
      <c r="D125" t="s">
        <v>220</v>
      </c>
      <c r="E125" t="s">
        <v>251</v>
      </c>
      <c r="F125">
        <f ca="1">VLOOKUP(B125, Orders!A:E, 3, FALSE) + RANDBETWEEN(0,2)</f>
        <v>46014</v>
      </c>
      <c r="G125">
        <f ca="1">F125+VLOOKUP(E125,Routes!A:D,4,FALSE)</f>
        <v>46018</v>
      </c>
      <c r="H125">
        <f t="shared" ca="1" si="4"/>
        <v>46023</v>
      </c>
      <c r="I125">
        <f t="shared" ca="1" si="5"/>
        <v>5</v>
      </c>
      <c r="J125" t="str">
        <f t="shared" ca="1" si="6"/>
        <v>Late</v>
      </c>
      <c r="K125" t="str">
        <f t="shared" ca="1" si="7"/>
        <v>Major Delay</v>
      </c>
    </row>
    <row r="126" spans="1:11" x14ac:dyDescent="0.25">
      <c r="A126" t="s">
        <v>1390</v>
      </c>
      <c r="B126" t="s">
        <v>501</v>
      </c>
      <c r="C126" t="s">
        <v>203</v>
      </c>
      <c r="D126" t="s">
        <v>227</v>
      </c>
      <c r="E126" t="s">
        <v>240</v>
      </c>
      <c r="F126">
        <f ca="1">VLOOKUP(B126, Orders!A:E, 3, FALSE) + RANDBETWEEN(0,2)</f>
        <v>45862</v>
      </c>
      <c r="G126">
        <f ca="1">F126+VLOOKUP(E126,Routes!A:D,4,FALSE)</f>
        <v>45866</v>
      </c>
      <c r="H126">
        <f t="shared" ca="1" si="4"/>
        <v>45866</v>
      </c>
      <c r="I126">
        <f t="shared" ca="1" si="5"/>
        <v>0</v>
      </c>
      <c r="J126" t="str">
        <f t="shared" ca="1" si="6"/>
        <v>On Time</v>
      </c>
      <c r="K126" t="str">
        <f t="shared" ca="1" si="7"/>
        <v>On Time</v>
      </c>
    </row>
    <row r="127" spans="1:11" x14ac:dyDescent="0.25">
      <c r="A127" t="s">
        <v>1391</v>
      </c>
      <c r="B127" t="s">
        <v>325</v>
      </c>
      <c r="C127" t="s">
        <v>203</v>
      </c>
      <c r="D127" t="s">
        <v>227</v>
      </c>
      <c r="E127" t="s">
        <v>249</v>
      </c>
      <c r="F127">
        <f ca="1">VLOOKUP(B127, Orders!A:E, 3, FALSE) + RANDBETWEEN(0,2)</f>
        <v>45790</v>
      </c>
      <c r="G127">
        <f ca="1">F127+VLOOKUP(E127,Routes!A:D,4,FALSE)</f>
        <v>45792</v>
      </c>
      <c r="H127">
        <f t="shared" ca="1" si="4"/>
        <v>45795</v>
      </c>
      <c r="I127">
        <f t="shared" ca="1" si="5"/>
        <v>3</v>
      </c>
      <c r="J127" t="str">
        <f t="shared" ca="1" si="6"/>
        <v>Late</v>
      </c>
      <c r="K127" t="str">
        <f t="shared" ca="1" si="7"/>
        <v>Major Delay</v>
      </c>
    </row>
    <row r="128" spans="1:11" x14ac:dyDescent="0.25">
      <c r="A128" t="s">
        <v>1392</v>
      </c>
      <c r="B128" t="s">
        <v>298</v>
      </c>
      <c r="C128" t="s">
        <v>203</v>
      </c>
      <c r="D128" t="s">
        <v>217</v>
      </c>
      <c r="E128" t="s">
        <v>247</v>
      </c>
      <c r="F128">
        <f ca="1">VLOOKUP(B128, Orders!A:E, 3, FALSE) + RANDBETWEEN(0,2)</f>
        <v>46035</v>
      </c>
      <c r="G128">
        <f ca="1">F128+VLOOKUP(E128,Routes!A:D,4,FALSE)</f>
        <v>46039</v>
      </c>
      <c r="H128">
        <f t="shared" ca="1" si="4"/>
        <v>46039</v>
      </c>
      <c r="I128">
        <f t="shared" ca="1" si="5"/>
        <v>0</v>
      </c>
      <c r="J128" t="str">
        <f t="shared" ca="1" si="6"/>
        <v>On Time</v>
      </c>
      <c r="K128" t="str">
        <f t="shared" ca="1" si="7"/>
        <v>On Time</v>
      </c>
    </row>
    <row r="129" spans="1:11" x14ac:dyDescent="0.25">
      <c r="A129" t="s">
        <v>1393</v>
      </c>
      <c r="B129" t="s">
        <v>339</v>
      </c>
      <c r="C129" t="s">
        <v>203</v>
      </c>
      <c r="D129" t="s">
        <v>230</v>
      </c>
      <c r="E129" t="s">
        <v>249</v>
      </c>
      <c r="F129">
        <f ca="1">VLOOKUP(B129, Orders!A:E, 3, FALSE) + RANDBETWEEN(0,2)</f>
        <v>45974</v>
      </c>
      <c r="G129">
        <f ca="1">F129+VLOOKUP(E129,Routes!A:D,4,FALSE)</f>
        <v>45976</v>
      </c>
      <c r="H129">
        <f t="shared" ca="1" si="4"/>
        <v>45976</v>
      </c>
      <c r="I129">
        <f t="shared" ca="1" si="5"/>
        <v>0</v>
      </c>
      <c r="J129" t="str">
        <f t="shared" ca="1" si="6"/>
        <v>On Time</v>
      </c>
      <c r="K129" t="str">
        <f t="shared" ca="1" si="7"/>
        <v>On Time</v>
      </c>
    </row>
    <row r="130" spans="1:11" x14ac:dyDescent="0.25">
      <c r="A130" t="s">
        <v>1394</v>
      </c>
      <c r="B130" t="s">
        <v>496</v>
      </c>
      <c r="C130" t="s">
        <v>200</v>
      </c>
      <c r="D130" t="s">
        <v>227</v>
      </c>
      <c r="E130" t="s">
        <v>247</v>
      </c>
      <c r="F130">
        <f ca="1">VLOOKUP(B130, Orders!A:E, 3, FALSE) + RANDBETWEEN(0,2)</f>
        <v>45908</v>
      </c>
      <c r="G130">
        <f ca="1">F130+VLOOKUP(E130,Routes!A:D,4,FALSE)</f>
        <v>45912</v>
      </c>
      <c r="H130">
        <f t="shared" ca="1" si="4"/>
        <v>45913</v>
      </c>
      <c r="I130">
        <f t="shared" ca="1" si="5"/>
        <v>1</v>
      </c>
      <c r="J130" t="str">
        <f t="shared" ca="1" si="6"/>
        <v>Late</v>
      </c>
      <c r="K130" t="str">
        <f t="shared" ca="1" si="7"/>
        <v>Minor Delay</v>
      </c>
    </row>
    <row r="131" spans="1:11" x14ac:dyDescent="0.25">
      <c r="A131" t="s">
        <v>1395</v>
      </c>
      <c r="B131" t="s">
        <v>452</v>
      </c>
      <c r="C131" t="s">
        <v>192</v>
      </c>
      <c r="D131" t="s">
        <v>220</v>
      </c>
      <c r="E131" t="s">
        <v>242</v>
      </c>
      <c r="F131">
        <f ca="1">VLOOKUP(B131, Orders!A:E, 3, FALSE) + RANDBETWEEN(0,2)</f>
        <v>46037</v>
      </c>
      <c r="G131">
        <f ca="1">F131+VLOOKUP(E131,Routes!A:D,4,FALSE)</f>
        <v>46041</v>
      </c>
      <c r="H131">
        <f t="shared" ref="H131:H194" ca="1" si="8">G131+IF(RAND()&lt;0.3,RANDBETWEEN(1,5),0)</f>
        <v>46041</v>
      </c>
      <c r="I131">
        <f t="shared" ref="I131:I194" ca="1" si="9">H131-G131</f>
        <v>0</v>
      </c>
      <c r="J131" t="str">
        <f t="shared" ref="J131:J194" ca="1" si="10">IF(I131&gt;0,"Late", "On Time")</f>
        <v>On Time</v>
      </c>
      <c r="K131" t="str">
        <f t="shared" ref="K131:K194" ca="1" si="11">IF(I131&lt;=0, "On Time",  IF(I131&lt;=2, "Minor Delay", "Major Delay"))</f>
        <v>On Time</v>
      </c>
    </row>
    <row r="132" spans="1:11" x14ac:dyDescent="0.25">
      <c r="A132" t="s">
        <v>1396</v>
      </c>
      <c r="B132" t="s">
        <v>367</v>
      </c>
      <c r="C132" t="s">
        <v>203</v>
      </c>
      <c r="D132" t="s">
        <v>223</v>
      </c>
      <c r="E132" t="s">
        <v>246</v>
      </c>
      <c r="F132">
        <f ca="1">VLOOKUP(B132, Orders!A:E, 3, FALSE) + RANDBETWEEN(0,2)</f>
        <v>45902</v>
      </c>
      <c r="G132">
        <f ca="1">F132+VLOOKUP(E132,Routes!A:D,4,FALSE)</f>
        <v>45905</v>
      </c>
      <c r="H132">
        <f t="shared" ca="1" si="8"/>
        <v>45907</v>
      </c>
      <c r="I132">
        <f t="shared" ca="1" si="9"/>
        <v>2</v>
      </c>
      <c r="J132" t="str">
        <f t="shared" ca="1" si="10"/>
        <v>Late</v>
      </c>
      <c r="K132" t="str">
        <f t="shared" ca="1" si="11"/>
        <v>Minor Delay</v>
      </c>
    </row>
    <row r="133" spans="1:11" x14ac:dyDescent="0.25">
      <c r="A133" t="s">
        <v>1397</v>
      </c>
      <c r="B133" t="s">
        <v>469</v>
      </c>
      <c r="C133" t="s">
        <v>203</v>
      </c>
      <c r="D133" t="s">
        <v>227</v>
      </c>
      <c r="E133" t="s">
        <v>240</v>
      </c>
      <c r="F133">
        <f ca="1">VLOOKUP(B133, Orders!A:E, 3, FALSE) + RANDBETWEEN(0,2)</f>
        <v>45844</v>
      </c>
      <c r="G133">
        <f ca="1">F133+VLOOKUP(E133,Routes!A:D,4,FALSE)</f>
        <v>45848</v>
      </c>
      <c r="H133">
        <f t="shared" ca="1" si="8"/>
        <v>45848</v>
      </c>
      <c r="I133">
        <f t="shared" ca="1" si="9"/>
        <v>0</v>
      </c>
      <c r="J133" t="str">
        <f t="shared" ca="1" si="10"/>
        <v>On Time</v>
      </c>
      <c r="K133" t="str">
        <f t="shared" ca="1" si="11"/>
        <v>On Time</v>
      </c>
    </row>
    <row r="134" spans="1:11" x14ac:dyDescent="0.25">
      <c r="A134" t="s">
        <v>1398</v>
      </c>
      <c r="B134" t="s">
        <v>333</v>
      </c>
      <c r="C134" t="s">
        <v>196</v>
      </c>
      <c r="D134" t="s">
        <v>230</v>
      </c>
      <c r="E134" t="s">
        <v>244</v>
      </c>
      <c r="F134">
        <f ca="1">VLOOKUP(B134, Orders!A:E, 3, FALSE) + RANDBETWEEN(0,2)</f>
        <v>46011</v>
      </c>
      <c r="G134">
        <f ca="1">F134+VLOOKUP(E134,Routes!A:D,4,FALSE)</f>
        <v>46014</v>
      </c>
      <c r="H134">
        <f t="shared" ca="1" si="8"/>
        <v>46014</v>
      </c>
      <c r="I134">
        <f t="shared" ca="1" si="9"/>
        <v>0</v>
      </c>
      <c r="J134" t="str">
        <f t="shared" ca="1" si="10"/>
        <v>On Time</v>
      </c>
      <c r="K134" t="str">
        <f t="shared" ca="1" si="11"/>
        <v>On Time</v>
      </c>
    </row>
    <row r="135" spans="1:11" x14ac:dyDescent="0.25">
      <c r="A135" t="s">
        <v>1399</v>
      </c>
      <c r="B135" t="s">
        <v>391</v>
      </c>
      <c r="C135" t="s">
        <v>203</v>
      </c>
      <c r="D135" t="s">
        <v>220</v>
      </c>
      <c r="E135" t="s">
        <v>242</v>
      </c>
      <c r="F135">
        <f ca="1">VLOOKUP(B135, Orders!A:E, 3, FALSE) + RANDBETWEEN(0,2)</f>
        <v>45907</v>
      </c>
      <c r="G135">
        <f ca="1">F135+VLOOKUP(E135,Routes!A:D,4,FALSE)</f>
        <v>45911</v>
      </c>
      <c r="H135">
        <f t="shared" ca="1" si="8"/>
        <v>45911</v>
      </c>
      <c r="I135">
        <f t="shared" ca="1" si="9"/>
        <v>0</v>
      </c>
      <c r="J135" t="str">
        <f t="shared" ca="1" si="10"/>
        <v>On Time</v>
      </c>
      <c r="K135" t="str">
        <f t="shared" ca="1" si="11"/>
        <v>On Time</v>
      </c>
    </row>
    <row r="136" spans="1:11" x14ac:dyDescent="0.25">
      <c r="A136" t="s">
        <v>1400</v>
      </c>
      <c r="B136" t="s">
        <v>387</v>
      </c>
      <c r="C136" t="s">
        <v>200</v>
      </c>
      <c r="D136" t="s">
        <v>223</v>
      </c>
      <c r="E136" t="s">
        <v>246</v>
      </c>
      <c r="F136">
        <f ca="1">VLOOKUP(B136, Orders!A:E, 3, FALSE) + RANDBETWEEN(0,2)</f>
        <v>45909</v>
      </c>
      <c r="G136">
        <f ca="1">F136+VLOOKUP(E136,Routes!A:D,4,FALSE)</f>
        <v>45912</v>
      </c>
      <c r="H136">
        <f t="shared" ca="1" si="8"/>
        <v>45913</v>
      </c>
      <c r="I136">
        <f t="shared" ca="1" si="9"/>
        <v>1</v>
      </c>
      <c r="J136" t="str">
        <f t="shared" ca="1" si="10"/>
        <v>Late</v>
      </c>
      <c r="K136" t="str">
        <f t="shared" ca="1" si="11"/>
        <v>Minor Delay</v>
      </c>
    </row>
    <row r="137" spans="1:11" x14ac:dyDescent="0.25">
      <c r="A137" t="s">
        <v>1401</v>
      </c>
      <c r="B137" t="s">
        <v>293</v>
      </c>
      <c r="C137" t="s">
        <v>196</v>
      </c>
      <c r="D137" t="s">
        <v>223</v>
      </c>
      <c r="E137" t="s">
        <v>246</v>
      </c>
      <c r="F137">
        <f ca="1">VLOOKUP(B137, Orders!A:E, 3, FALSE) + RANDBETWEEN(0,2)</f>
        <v>45856</v>
      </c>
      <c r="G137">
        <f ca="1">F137+VLOOKUP(E137,Routes!A:D,4,FALSE)</f>
        <v>45859</v>
      </c>
      <c r="H137">
        <f t="shared" ca="1" si="8"/>
        <v>45859</v>
      </c>
      <c r="I137">
        <f t="shared" ca="1" si="9"/>
        <v>0</v>
      </c>
      <c r="J137" t="str">
        <f t="shared" ca="1" si="10"/>
        <v>On Time</v>
      </c>
      <c r="K137" t="str">
        <f t="shared" ca="1" si="11"/>
        <v>On Time</v>
      </c>
    </row>
    <row r="138" spans="1:11" x14ac:dyDescent="0.25">
      <c r="A138" t="s">
        <v>1402</v>
      </c>
      <c r="B138" t="s">
        <v>295</v>
      </c>
      <c r="C138" t="s">
        <v>192</v>
      </c>
      <c r="D138" t="s">
        <v>223</v>
      </c>
      <c r="E138" t="s">
        <v>244</v>
      </c>
      <c r="F138">
        <f ca="1">VLOOKUP(B138, Orders!A:E, 3, FALSE) + RANDBETWEEN(0,2)</f>
        <v>45894</v>
      </c>
      <c r="G138">
        <f ca="1">F138+VLOOKUP(E138,Routes!A:D,4,FALSE)</f>
        <v>45897</v>
      </c>
      <c r="H138">
        <f t="shared" ca="1" si="8"/>
        <v>45898</v>
      </c>
      <c r="I138">
        <f t="shared" ca="1" si="9"/>
        <v>1</v>
      </c>
      <c r="J138" t="str">
        <f t="shared" ca="1" si="10"/>
        <v>Late</v>
      </c>
      <c r="K138" t="str">
        <f t="shared" ca="1" si="11"/>
        <v>Minor Delay</v>
      </c>
    </row>
    <row r="139" spans="1:11" x14ac:dyDescent="0.25">
      <c r="A139" t="s">
        <v>1403</v>
      </c>
      <c r="B139" t="s">
        <v>277</v>
      </c>
      <c r="C139" t="s">
        <v>196</v>
      </c>
      <c r="D139" t="s">
        <v>213</v>
      </c>
      <c r="E139" t="s">
        <v>257</v>
      </c>
      <c r="F139">
        <f ca="1">VLOOKUP(B139, Orders!A:E, 3, FALSE) + RANDBETWEEN(0,2)</f>
        <v>46010</v>
      </c>
      <c r="G139">
        <f ca="1">F139+VLOOKUP(E139,Routes!A:D,4,FALSE)</f>
        <v>46013</v>
      </c>
      <c r="H139">
        <f t="shared" ca="1" si="8"/>
        <v>46016</v>
      </c>
      <c r="I139">
        <f t="shared" ca="1" si="9"/>
        <v>3</v>
      </c>
      <c r="J139" t="str">
        <f t="shared" ca="1" si="10"/>
        <v>Late</v>
      </c>
      <c r="K139" t="str">
        <f t="shared" ca="1" si="11"/>
        <v>Major Delay</v>
      </c>
    </row>
    <row r="140" spans="1:11" x14ac:dyDescent="0.25">
      <c r="A140" t="s">
        <v>1404</v>
      </c>
      <c r="B140" t="s">
        <v>298</v>
      </c>
      <c r="C140" t="s">
        <v>196</v>
      </c>
      <c r="D140" t="s">
        <v>227</v>
      </c>
      <c r="E140" t="s">
        <v>259</v>
      </c>
      <c r="F140">
        <f ca="1">VLOOKUP(B140, Orders!A:E, 3, FALSE) + RANDBETWEEN(0,2)</f>
        <v>46035</v>
      </c>
      <c r="G140">
        <f ca="1">F140+VLOOKUP(E140,Routes!A:D,4,FALSE)</f>
        <v>46037</v>
      </c>
      <c r="H140">
        <f t="shared" ca="1" si="8"/>
        <v>46037</v>
      </c>
      <c r="I140">
        <f t="shared" ca="1" si="9"/>
        <v>0</v>
      </c>
      <c r="J140" t="str">
        <f t="shared" ca="1" si="10"/>
        <v>On Time</v>
      </c>
      <c r="K140" t="str">
        <f t="shared" ca="1" si="11"/>
        <v>On Time</v>
      </c>
    </row>
    <row r="141" spans="1:11" x14ac:dyDescent="0.25">
      <c r="A141" t="s">
        <v>1405</v>
      </c>
      <c r="B141" t="s">
        <v>268</v>
      </c>
      <c r="C141" t="s">
        <v>196</v>
      </c>
      <c r="D141" t="s">
        <v>230</v>
      </c>
      <c r="E141" t="s">
        <v>259</v>
      </c>
      <c r="F141">
        <f ca="1">VLOOKUP(B141, Orders!A:E, 3, FALSE) + RANDBETWEEN(0,2)</f>
        <v>46032</v>
      </c>
      <c r="G141">
        <f ca="1">F141+VLOOKUP(E141,Routes!A:D,4,FALSE)</f>
        <v>46034</v>
      </c>
      <c r="H141">
        <f t="shared" ca="1" si="8"/>
        <v>46034</v>
      </c>
      <c r="I141">
        <f t="shared" ca="1" si="9"/>
        <v>0</v>
      </c>
      <c r="J141" t="str">
        <f t="shared" ca="1" si="10"/>
        <v>On Time</v>
      </c>
      <c r="K141" t="str">
        <f t="shared" ca="1" si="11"/>
        <v>On Time</v>
      </c>
    </row>
    <row r="142" spans="1:11" x14ac:dyDescent="0.25">
      <c r="A142" t="s">
        <v>1406</v>
      </c>
      <c r="B142" t="s">
        <v>297</v>
      </c>
      <c r="C142" t="s">
        <v>206</v>
      </c>
      <c r="D142" t="s">
        <v>213</v>
      </c>
      <c r="E142" t="s">
        <v>251</v>
      </c>
      <c r="F142">
        <f ca="1">VLOOKUP(B142, Orders!A:E, 3, FALSE) + RANDBETWEEN(0,2)</f>
        <v>45825</v>
      </c>
      <c r="G142">
        <f ca="1">F142+VLOOKUP(E142,Routes!A:D,4,FALSE)</f>
        <v>45829</v>
      </c>
      <c r="H142">
        <f t="shared" ca="1" si="8"/>
        <v>45829</v>
      </c>
      <c r="I142">
        <f t="shared" ca="1" si="9"/>
        <v>0</v>
      </c>
      <c r="J142" t="str">
        <f t="shared" ca="1" si="10"/>
        <v>On Time</v>
      </c>
      <c r="K142" t="str">
        <f t="shared" ca="1" si="11"/>
        <v>On Time</v>
      </c>
    </row>
    <row r="143" spans="1:11" x14ac:dyDescent="0.25">
      <c r="A143" t="s">
        <v>1407</v>
      </c>
      <c r="B143" t="s">
        <v>412</v>
      </c>
      <c r="C143" t="s">
        <v>203</v>
      </c>
      <c r="D143" t="s">
        <v>223</v>
      </c>
      <c r="E143" t="s">
        <v>255</v>
      </c>
      <c r="F143">
        <f ca="1">VLOOKUP(B143, Orders!A:E, 3, FALSE) + RANDBETWEEN(0,2)</f>
        <v>45877</v>
      </c>
      <c r="G143">
        <f ca="1">F143+VLOOKUP(E143,Routes!A:D,4,FALSE)</f>
        <v>45880</v>
      </c>
      <c r="H143">
        <f t="shared" ca="1" si="8"/>
        <v>45880</v>
      </c>
      <c r="I143">
        <f t="shared" ca="1" si="9"/>
        <v>0</v>
      </c>
      <c r="J143" t="str">
        <f t="shared" ca="1" si="10"/>
        <v>On Time</v>
      </c>
      <c r="K143" t="str">
        <f t="shared" ca="1" si="11"/>
        <v>On Time</v>
      </c>
    </row>
    <row r="144" spans="1:11" x14ac:dyDescent="0.25">
      <c r="A144" t="s">
        <v>1408</v>
      </c>
      <c r="B144" t="s">
        <v>391</v>
      </c>
      <c r="C144" t="s">
        <v>192</v>
      </c>
      <c r="D144" t="s">
        <v>230</v>
      </c>
      <c r="E144" t="s">
        <v>237</v>
      </c>
      <c r="F144">
        <f ca="1">VLOOKUP(B144, Orders!A:E, 3, FALSE) + RANDBETWEEN(0,2)</f>
        <v>45908</v>
      </c>
      <c r="G144">
        <f ca="1">F144+VLOOKUP(E144,Routes!A:D,4,FALSE)</f>
        <v>45910</v>
      </c>
      <c r="H144">
        <f t="shared" ca="1" si="8"/>
        <v>45911</v>
      </c>
      <c r="I144">
        <f t="shared" ca="1" si="9"/>
        <v>1</v>
      </c>
      <c r="J144" t="str">
        <f t="shared" ca="1" si="10"/>
        <v>Late</v>
      </c>
      <c r="K144" t="str">
        <f t="shared" ca="1" si="11"/>
        <v>Minor Delay</v>
      </c>
    </row>
    <row r="145" spans="1:11" x14ac:dyDescent="0.25">
      <c r="A145" t="s">
        <v>1409</v>
      </c>
      <c r="B145" t="s">
        <v>488</v>
      </c>
      <c r="C145" t="s">
        <v>206</v>
      </c>
      <c r="D145" t="s">
        <v>223</v>
      </c>
      <c r="E145" t="s">
        <v>253</v>
      </c>
      <c r="F145">
        <f ca="1">VLOOKUP(B145, Orders!A:E, 3, FALSE) + RANDBETWEEN(0,2)</f>
        <v>45945</v>
      </c>
      <c r="G145">
        <f ca="1">F145+VLOOKUP(E145,Routes!A:D,4,FALSE)</f>
        <v>45949</v>
      </c>
      <c r="H145">
        <f t="shared" ca="1" si="8"/>
        <v>45949</v>
      </c>
      <c r="I145">
        <f t="shared" ca="1" si="9"/>
        <v>0</v>
      </c>
      <c r="J145" t="str">
        <f t="shared" ca="1" si="10"/>
        <v>On Time</v>
      </c>
      <c r="K145" t="str">
        <f t="shared" ca="1" si="11"/>
        <v>On Time</v>
      </c>
    </row>
    <row r="146" spans="1:11" x14ac:dyDescent="0.25">
      <c r="A146" t="s">
        <v>1410</v>
      </c>
      <c r="B146" t="s">
        <v>344</v>
      </c>
      <c r="C146" t="s">
        <v>200</v>
      </c>
      <c r="D146" t="s">
        <v>223</v>
      </c>
      <c r="E146" t="s">
        <v>251</v>
      </c>
      <c r="F146">
        <f ca="1">VLOOKUP(B146, Orders!A:E, 3, FALSE) + RANDBETWEEN(0,2)</f>
        <v>45868</v>
      </c>
      <c r="G146">
        <f ca="1">F146+VLOOKUP(E146,Routes!A:D,4,FALSE)</f>
        <v>45872</v>
      </c>
      <c r="H146">
        <f t="shared" ca="1" si="8"/>
        <v>45873</v>
      </c>
      <c r="I146">
        <f t="shared" ca="1" si="9"/>
        <v>1</v>
      </c>
      <c r="J146" t="str">
        <f t="shared" ca="1" si="10"/>
        <v>Late</v>
      </c>
      <c r="K146" t="str">
        <f t="shared" ca="1" si="11"/>
        <v>Minor Delay</v>
      </c>
    </row>
    <row r="147" spans="1:11" x14ac:dyDescent="0.25">
      <c r="A147" t="s">
        <v>1411</v>
      </c>
      <c r="B147" t="s">
        <v>469</v>
      </c>
      <c r="C147" t="s">
        <v>196</v>
      </c>
      <c r="D147" t="s">
        <v>227</v>
      </c>
      <c r="E147" t="s">
        <v>249</v>
      </c>
      <c r="F147">
        <f ca="1">VLOOKUP(B147, Orders!A:E, 3, FALSE) + RANDBETWEEN(0,2)</f>
        <v>45845</v>
      </c>
      <c r="G147">
        <f ca="1">F147+VLOOKUP(E147,Routes!A:D,4,FALSE)</f>
        <v>45847</v>
      </c>
      <c r="H147">
        <f t="shared" ca="1" si="8"/>
        <v>45847</v>
      </c>
      <c r="I147">
        <f t="shared" ca="1" si="9"/>
        <v>0</v>
      </c>
      <c r="J147" t="str">
        <f t="shared" ca="1" si="10"/>
        <v>On Time</v>
      </c>
      <c r="K147" t="str">
        <f t="shared" ca="1" si="11"/>
        <v>On Time</v>
      </c>
    </row>
    <row r="148" spans="1:11" x14ac:dyDescent="0.25">
      <c r="A148" t="s">
        <v>1412</v>
      </c>
      <c r="B148" t="s">
        <v>334</v>
      </c>
      <c r="C148" t="s">
        <v>192</v>
      </c>
      <c r="D148" t="s">
        <v>217</v>
      </c>
      <c r="E148" t="s">
        <v>247</v>
      </c>
      <c r="F148">
        <f ca="1">VLOOKUP(B148, Orders!A:E, 3, FALSE) + RANDBETWEEN(0,2)</f>
        <v>45918</v>
      </c>
      <c r="G148">
        <f ca="1">F148+VLOOKUP(E148,Routes!A:D,4,FALSE)</f>
        <v>45922</v>
      </c>
      <c r="H148">
        <f t="shared" ca="1" si="8"/>
        <v>45924</v>
      </c>
      <c r="I148">
        <f t="shared" ca="1" si="9"/>
        <v>2</v>
      </c>
      <c r="J148" t="str">
        <f t="shared" ca="1" si="10"/>
        <v>Late</v>
      </c>
      <c r="K148" t="str">
        <f t="shared" ca="1" si="11"/>
        <v>Minor Delay</v>
      </c>
    </row>
    <row r="149" spans="1:11" x14ac:dyDescent="0.25">
      <c r="A149" t="s">
        <v>1413</v>
      </c>
      <c r="B149" t="s">
        <v>464</v>
      </c>
      <c r="C149" t="s">
        <v>206</v>
      </c>
      <c r="D149" t="s">
        <v>230</v>
      </c>
      <c r="E149" t="s">
        <v>249</v>
      </c>
      <c r="F149">
        <f ca="1">VLOOKUP(B149, Orders!A:E, 3, FALSE) + RANDBETWEEN(0,2)</f>
        <v>45784</v>
      </c>
      <c r="G149">
        <f ca="1">F149+VLOOKUP(E149,Routes!A:D,4,FALSE)</f>
        <v>45786</v>
      </c>
      <c r="H149">
        <f t="shared" ca="1" si="8"/>
        <v>45786</v>
      </c>
      <c r="I149">
        <f t="shared" ca="1" si="9"/>
        <v>0</v>
      </c>
      <c r="J149" t="str">
        <f t="shared" ca="1" si="10"/>
        <v>On Time</v>
      </c>
      <c r="K149" t="str">
        <f t="shared" ca="1" si="11"/>
        <v>On Time</v>
      </c>
    </row>
    <row r="150" spans="1:11" x14ac:dyDescent="0.25">
      <c r="A150" t="s">
        <v>1414</v>
      </c>
      <c r="B150" t="s">
        <v>419</v>
      </c>
      <c r="C150" t="s">
        <v>203</v>
      </c>
      <c r="D150" t="s">
        <v>220</v>
      </c>
      <c r="E150" t="s">
        <v>240</v>
      </c>
      <c r="F150">
        <f ca="1">VLOOKUP(B150, Orders!A:E, 3, FALSE) + RANDBETWEEN(0,2)</f>
        <v>45894</v>
      </c>
      <c r="G150">
        <f ca="1">F150+VLOOKUP(E150,Routes!A:D,4,FALSE)</f>
        <v>45898</v>
      </c>
      <c r="H150">
        <f t="shared" ca="1" si="8"/>
        <v>45899</v>
      </c>
      <c r="I150">
        <f t="shared" ca="1" si="9"/>
        <v>1</v>
      </c>
      <c r="J150" t="str">
        <f t="shared" ca="1" si="10"/>
        <v>Late</v>
      </c>
      <c r="K150" t="str">
        <f t="shared" ca="1" si="11"/>
        <v>Minor Delay</v>
      </c>
    </row>
    <row r="151" spans="1:11" x14ac:dyDescent="0.25">
      <c r="A151" t="s">
        <v>1415</v>
      </c>
      <c r="B151" t="s">
        <v>307</v>
      </c>
      <c r="C151" t="s">
        <v>203</v>
      </c>
      <c r="D151" t="s">
        <v>213</v>
      </c>
      <c r="E151" t="s">
        <v>251</v>
      </c>
      <c r="F151">
        <f ca="1">VLOOKUP(B151, Orders!A:E, 3, FALSE) + RANDBETWEEN(0,2)</f>
        <v>45870</v>
      </c>
      <c r="G151">
        <f ca="1">F151+VLOOKUP(E151,Routes!A:D,4,FALSE)</f>
        <v>45874</v>
      </c>
      <c r="H151">
        <f t="shared" ca="1" si="8"/>
        <v>45874</v>
      </c>
      <c r="I151">
        <f t="shared" ca="1" si="9"/>
        <v>0</v>
      </c>
      <c r="J151" t="str">
        <f t="shared" ca="1" si="10"/>
        <v>On Time</v>
      </c>
      <c r="K151" t="str">
        <f t="shared" ca="1" si="11"/>
        <v>On Time</v>
      </c>
    </row>
    <row r="152" spans="1:11" x14ac:dyDescent="0.25">
      <c r="A152" t="s">
        <v>1416</v>
      </c>
      <c r="B152" t="s">
        <v>457</v>
      </c>
      <c r="C152" t="s">
        <v>200</v>
      </c>
      <c r="D152" t="s">
        <v>217</v>
      </c>
      <c r="E152" t="s">
        <v>246</v>
      </c>
      <c r="F152">
        <f ca="1">VLOOKUP(B152, Orders!A:E, 3, FALSE) + RANDBETWEEN(0,2)</f>
        <v>45988</v>
      </c>
      <c r="G152">
        <f ca="1">F152+VLOOKUP(E152,Routes!A:D,4,FALSE)</f>
        <v>45991</v>
      </c>
      <c r="H152">
        <f t="shared" ca="1" si="8"/>
        <v>45995</v>
      </c>
      <c r="I152">
        <f t="shared" ca="1" si="9"/>
        <v>4</v>
      </c>
      <c r="J152" t="str">
        <f t="shared" ca="1" si="10"/>
        <v>Late</v>
      </c>
      <c r="K152" t="str">
        <f t="shared" ca="1" si="11"/>
        <v>Major Delay</v>
      </c>
    </row>
    <row r="153" spans="1:11" x14ac:dyDescent="0.25">
      <c r="A153" t="s">
        <v>1417</v>
      </c>
      <c r="B153" t="s">
        <v>353</v>
      </c>
      <c r="C153" t="s">
        <v>192</v>
      </c>
      <c r="D153" t="s">
        <v>217</v>
      </c>
      <c r="E153" t="s">
        <v>249</v>
      </c>
      <c r="F153">
        <f ca="1">VLOOKUP(B153, Orders!A:E, 3, FALSE) + RANDBETWEEN(0,2)</f>
        <v>45879</v>
      </c>
      <c r="G153">
        <f ca="1">F153+VLOOKUP(E153,Routes!A:D,4,FALSE)</f>
        <v>45881</v>
      </c>
      <c r="H153">
        <f t="shared" ca="1" si="8"/>
        <v>45881</v>
      </c>
      <c r="I153">
        <f t="shared" ca="1" si="9"/>
        <v>0</v>
      </c>
      <c r="J153" t="str">
        <f t="shared" ca="1" si="10"/>
        <v>On Time</v>
      </c>
      <c r="K153" t="str">
        <f t="shared" ca="1" si="11"/>
        <v>On Time</v>
      </c>
    </row>
    <row r="154" spans="1:11" x14ac:dyDescent="0.25">
      <c r="A154" t="s">
        <v>1418</v>
      </c>
      <c r="B154" t="s">
        <v>388</v>
      </c>
      <c r="C154" t="s">
        <v>203</v>
      </c>
      <c r="D154" t="s">
        <v>223</v>
      </c>
      <c r="E154" t="s">
        <v>251</v>
      </c>
      <c r="F154">
        <f ca="1">VLOOKUP(B154, Orders!A:E, 3, FALSE) + RANDBETWEEN(0,2)</f>
        <v>45969</v>
      </c>
      <c r="G154">
        <f ca="1">F154+VLOOKUP(E154,Routes!A:D,4,FALSE)</f>
        <v>45973</v>
      </c>
      <c r="H154">
        <f t="shared" ca="1" si="8"/>
        <v>45973</v>
      </c>
      <c r="I154">
        <f t="shared" ca="1" si="9"/>
        <v>0</v>
      </c>
      <c r="J154" t="str">
        <f t="shared" ca="1" si="10"/>
        <v>On Time</v>
      </c>
      <c r="K154" t="str">
        <f t="shared" ca="1" si="11"/>
        <v>On Time</v>
      </c>
    </row>
    <row r="155" spans="1:11" x14ac:dyDescent="0.25">
      <c r="A155" t="s">
        <v>1419</v>
      </c>
      <c r="B155" t="s">
        <v>325</v>
      </c>
      <c r="C155" t="s">
        <v>192</v>
      </c>
      <c r="D155" t="s">
        <v>220</v>
      </c>
      <c r="E155" t="s">
        <v>240</v>
      </c>
      <c r="F155">
        <f ca="1">VLOOKUP(B155, Orders!A:E, 3, FALSE) + RANDBETWEEN(0,2)</f>
        <v>45792</v>
      </c>
      <c r="G155">
        <f ca="1">F155+VLOOKUP(E155,Routes!A:D,4,FALSE)</f>
        <v>45796</v>
      </c>
      <c r="H155">
        <f t="shared" ca="1" si="8"/>
        <v>45796</v>
      </c>
      <c r="I155">
        <f t="shared" ca="1" si="9"/>
        <v>0</v>
      </c>
      <c r="J155" t="str">
        <f t="shared" ca="1" si="10"/>
        <v>On Time</v>
      </c>
      <c r="K155" t="str">
        <f t="shared" ca="1" si="11"/>
        <v>On Time</v>
      </c>
    </row>
    <row r="156" spans="1:11" x14ac:dyDescent="0.25">
      <c r="A156" t="s">
        <v>1420</v>
      </c>
      <c r="B156" t="s">
        <v>322</v>
      </c>
      <c r="C156" t="s">
        <v>192</v>
      </c>
      <c r="D156" t="s">
        <v>217</v>
      </c>
      <c r="E156" t="s">
        <v>249</v>
      </c>
      <c r="F156">
        <f ca="1">VLOOKUP(B156, Orders!A:E, 3, FALSE) + RANDBETWEEN(0,2)</f>
        <v>45811</v>
      </c>
      <c r="G156">
        <f ca="1">F156+VLOOKUP(E156,Routes!A:D,4,FALSE)</f>
        <v>45813</v>
      </c>
      <c r="H156">
        <f t="shared" ca="1" si="8"/>
        <v>45813</v>
      </c>
      <c r="I156">
        <f t="shared" ca="1" si="9"/>
        <v>0</v>
      </c>
      <c r="J156" t="str">
        <f t="shared" ca="1" si="10"/>
        <v>On Time</v>
      </c>
      <c r="K156" t="str">
        <f t="shared" ca="1" si="11"/>
        <v>On Time</v>
      </c>
    </row>
    <row r="157" spans="1:11" x14ac:dyDescent="0.25">
      <c r="A157" t="s">
        <v>1421</v>
      </c>
      <c r="B157" t="s">
        <v>398</v>
      </c>
      <c r="C157" t="s">
        <v>200</v>
      </c>
      <c r="D157" t="s">
        <v>223</v>
      </c>
      <c r="E157" t="s">
        <v>251</v>
      </c>
      <c r="F157">
        <f ca="1">VLOOKUP(B157, Orders!A:E, 3, FALSE) + RANDBETWEEN(0,2)</f>
        <v>46029</v>
      </c>
      <c r="G157">
        <f ca="1">F157+VLOOKUP(E157,Routes!A:D,4,FALSE)</f>
        <v>46033</v>
      </c>
      <c r="H157">
        <f t="shared" ca="1" si="8"/>
        <v>46035</v>
      </c>
      <c r="I157">
        <f t="shared" ca="1" si="9"/>
        <v>2</v>
      </c>
      <c r="J157" t="str">
        <f t="shared" ca="1" si="10"/>
        <v>Late</v>
      </c>
      <c r="K157" t="str">
        <f t="shared" ca="1" si="11"/>
        <v>Minor Delay</v>
      </c>
    </row>
    <row r="158" spans="1:11" x14ac:dyDescent="0.25">
      <c r="A158" t="s">
        <v>1422</v>
      </c>
      <c r="B158" t="s">
        <v>425</v>
      </c>
      <c r="C158" t="s">
        <v>196</v>
      </c>
      <c r="D158" t="s">
        <v>213</v>
      </c>
      <c r="E158" t="s">
        <v>253</v>
      </c>
      <c r="F158">
        <f ca="1">VLOOKUP(B158, Orders!A:E, 3, FALSE) + RANDBETWEEN(0,2)</f>
        <v>45826</v>
      </c>
      <c r="G158">
        <f ca="1">F158+VLOOKUP(E158,Routes!A:D,4,FALSE)</f>
        <v>45830</v>
      </c>
      <c r="H158">
        <f t="shared" ca="1" si="8"/>
        <v>45830</v>
      </c>
      <c r="I158">
        <f t="shared" ca="1" si="9"/>
        <v>0</v>
      </c>
      <c r="J158" t="str">
        <f t="shared" ca="1" si="10"/>
        <v>On Time</v>
      </c>
      <c r="K158" t="str">
        <f t="shared" ca="1" si="11"/>
        <v>On Time</v>
      </c>
    </row>
    <row r="159" spans="1:11" x14ac:dyDescent="0.25">
      <c r="A159" t="s">
        <v>1423</v>
      </c>
      <c r="B159" t="s">
        <v>428</v>
      </c>
      <c r="C159" t="s">
        <v>206</v>
      </c>
      <c r="D159" t="s">
        <v>220</v>
      </c>
      <c r="E159" t="s">
        <v>244</v>
      </c>
      <c r="F159">
        <f ca="1">VLOOKUP(B159, Orders!A:E, 3, FALSE) + RANDBETWEEN(0,2)</f>
        <v>45848</v>
      </c>
      <c r="G159">
        <f ca="1">F159+VLOOKUP(E159,Routes!A:D,4,FALSE)</f>
        <v>45851</v>
      </c>
      <c r="H159">
        <f t="shared" ca="1" si="8"/>
        <v>45851</v>
      </c>
      <c r="I159">
        <f t="shared" ca="1" si="9"/>
        <v>0</v>
      </c>
      <c r="J159" t="str">
        <f t="shared" ca="1" si="10"/>
        <v>On Time</v>
      </c>
      <c r="K159" t="str">
        <f t="shared" ca="1" si="11"/>
        <v>On Time</v>
      </c>
    </row>
    <row r="160" spans="1:11" x14ac:dyDescent="0.25">
      <c r="A160" t="s">
        <v>1424</v>
      </c>
      <c r="B160" t="s">
        <v>385</v>
      </c>
      <c r="C160" t="s">
        <v>196</v>
      </c>
      <c r="D160" t="s">
        <v>213</v>
      </c>
      <c r="E160" t="s">
        <v>237</v>
      </c>
      <c r="F160">
        <f ca="1">VLOOKUP(B160, Orders!A:E, 3, FALSE) + RANDBETWEEN(0,2)</f>
        <v>45817</v>
      </c>
      <c r="G160">
        <f ca="1">F160+VLOOKUP(E160,Routes!A:D,4,FALSE)</f>
        <v>45819</v>
      </c>
      <c r="H160">
        <f t="shared" ca="1" si="8"/>
        <v>45819</v>
      </c>
      <c r="I160">
        <f t="shared" ca="1" si="9"/>
        <v>0</v>
      </c>
      <c r="J160" t="str">
        <f t="shared" ca="1" si="10"/>
        <v>On Time</v>
      </c>
      <c r="K160" t="str">
        <f t="shared" ca="1" si="11"/>
        <v>On Time</v>
      </c>
    </row>
    <row r="161" spans="1:11" x14ac:dyDescent="0.25">
      <c r="A161" t="s">
        <v>1425</v>
      </c>
      <c r="B161" t="s">
        <v>491</v>
      </c>
      <c r="C161" t="s">
        <v>203</v>
      </c>
      <c r="D161" t="s">
        <v>220</v>
      </c>
      <c r="E161" t="s">
        <v>259</v>
      </c>
      <c r="F161">
        <f ca="1">VLOOKUP(B161, Orders!A:E, 3, FALSE) + RANDBETWEEN(0,2)</f>
        <v>46016</v>
      </c>
      <c r="G161">
        <f ca="1">F161+VLOOKUP(E161,Routes!A:D,4,FALSE)</f>
        <v>46018</v>
      </c>
      <c r="H161">
        <f t="shared" ca="1" si="8"/>
        <v>46021</v>
      </c>
      <c r="I161">
        <f t="shared" ca="1" si="9"/>
        <v>3</v>
      </c>
      <c r="J161" t="str">
        <f t="shared" ca="1" si="10"/>
        <v>Late</v>
      </c>
      <c r="K161" t="str">
        <f t="shared" ca="1" si="11"/>
        <v>Major Delay</v>
      </c>
    </row>
    <row r="162" spans="1:11" x14ac:dyDescent="0.25">
      <c r="A162" t="s">
        <v>1426</v>
      </c>
      <c r="B162" t="s">
        <v>326</v>
      </c>
      <c r="C162" t="s">
        <v>196</v>
      </c>
      <c r="D162" t="s">
        <v>223</v>
      </c>
      <c r="E162" t="s">
        <v>247</v>
      </c>
      <c r="F162">
        <f ca="1">VLOOKUP(B162, Orders!A:E, 3, FALSE) + RANDBETWEEN(0,2)</f>
        <v>45789</v>
      </c>
      <c r="G162">
        <f ca="1">F162+VLOOKUP(E162,Routes!A:D,4,FALSE)</f>
        <v>45793</v>
      </c>
      <c r="H162">
        <f t="shared" ca="1" si="8"/>
        <v>45795</v>
      </c>
      <c r="I162">
        <f t="shared" ca="1" si="9"/>
        <v>2</v>
      </c>
      <c r="J162" t="str">
        <f t="shared" ca="1" si="10"/>
        <v>Late</v>
      </c>
      <c r="K162" t="str">
        <f t="shared" ca="1" si="11"/>
        <v>Minor Delay</v>
      </c>
    </row>
    <row r="163" spans="1:11" x14ac:dyDescent="0.25">
      <c r="A163" t="s">
        <v>1427</v>
      </c>
      <c r="B163" t="s">
        <v>311</v>
      </c>
      <c r="C163" t="s">
        <v>206</v>
      </c>
      <c r="D163" t="s">
        <v>230</v>
      </c>
      <c r="E163" t="s">
        <v>255</v>
      </c>
      <c r="F163">
        <f ca="1">VLOOKUP(B163, Orders!A:E, 3, FALSE) + RANDBETWEEN(0,2)</f>
        <v>45985</v>
      </c>
      <c r="G163">
        <f ca="1">F163+VLOOKUP(E163,Routes!A:D,4,FALSE)</f>
        <v>45988</v>
      </c>
      <c r="H163">
        <f t="shared" ca="1" si="8"/>
        <v>45991</v>
      </c>
      <c r="I163">
        <f t="shared" ca="1" si="9"/>
        <v>3</v>
      </c>
      <c r="J163" t="str">
        <f t="shared" ca="1" si="10"/>
        <v>Late</v>
      </c>
      <c r="K163" t="str">
        <f t="shared" ca="1" si="11"/>
        <v>Major Delay</v>
      </c>
    </row>
    <row r="164" spans="1:11" x14ac:dyDescent="0.25">
      <c r="A164" t="s">
        <v>1428</v>
      </c>
      <c r="B164" t="s">
        <v>286</v>
      </c>
      <c r="C164" t="s">
        <v>203</v>
      </c>
      <c r="D164" t="s">
        <v>230</v>
      </c>
      <c r="E164" t="s">
        <v>240</v>
      </c>
      <c r="F164">
        <f ca="1">VLOOKUP(B164, Orders!A:E, 3, FALSE) + RANDBETWEEN(0,2)</f>
        <v>45955</v>
      </c>
      <c r="G164">
        <f ca="1">F164+VLOOKUP(E164,Routes!A:D,4,FALSE)</f>
        <v>45959</v>
      </c>
      <c r="H164">
        <f t="shared" ca="1" si="8"/>
        <v>45960</v>
      </c>
      <c r="I164">
        <f t="shared" ca="1" si="9"/>
        <v>1</v>
      </c>
      <c r="J164" t="str">
        <f t="shared" ca="1" si="10"/>
        <v>Late</v>
      </c>
      <c r="K164" t="str">
        <f t="shared" ca="1" si="11"/>
        <v>Minor Delay</v>
      </c>
    </row>
    <row r="165" spans="1:11" x14ac:dyDescent="0.25">
      <c r="A165" t="s">
        <v>1429</v>
      </c>
      <c r="B165" t="s">
        <v>500</v>
      </c>
      <c r="C165" t="s">
        <v>192</v>
      </c>
      <c r="D165" t="s">
        <v>213</v>
      </c>
      <c r="E165" t="s">
        <v>244</v>
      </c>
      <c r="F165">
        <f ca="1">VLOOKUP(B165, Orders!A:E, 3, FALSE) + RANDBETWEEN(0,2)</f>
        <v>45946</v>
      </c>
      <c r="G165">
        <f ca="1">F165+VLOOKUP(E165,Routes!A:D,4,FALSE)</f>
        <v>45949</v>
      </c>
      <c r="H165">
        <f t="shared" ca="1" si="8"/>
        <v>45949</v>
      </c>
      <c r="I165">
        <f t="shared" ca="1" si="9"/>
        <v>0</v>
      </c>
      <c r="J165" t="str">
        <f t="shared" ca="1" si="10"/>
        <v>On Time</v>
      </c>
      <c r="K165" t="str">
        <f t="shared" ca="1" si="11"/>
        <v>On Time</v>
      </c>
    </row>
    <row r="166" spans="1:11" x14ac:dyDescent="0.25">
      <c r="A166" t="s">
        <v>1430</v>
      </c>
      <c r="B166" t="s">
        <v>361</v>
      </c>
      <c r="C166" t="s">
        <v>196</v>
      </c>
      <c r="D166" t="s">
        <v>227</v>
      </c>
      <c r="E166" t="s">
        <v>259</v>
      </c>
      <c r="F166">
        <f ca="1">VLOOKUP(B166, Orders!A:E, 3, FALSE) + RANDBETWEEN(0,2)</f>
        <v>46028</v>
      </c>
      <c r="G166">
        <f ca="1">F166+VLOOKUP(E166,Routes!A:D,4,FALSE)</f>
        <v>46030</v>
      </c>
      <c r="H166">
        <f t="shared" ca="1" si="8"/>
        <v>46030</v>
      </c>
      <c r="I166">
        <f t="shared" ca="1" si="9"/>
        <v>0</v>
      </c>
      <c r="J166" t="str">
        <f t="shared" ca="1" si="10"/>
        <v>On Time</v>
      </c>
      <c r="K166" t="str">
        <f t="shared" ca="1" si="11"/>
        <v>On Time</v>
      </c>
    </row>
    <row r="167" spans="1:11" x14ac:dyDescent="0.25">
      <c r="A167" t="s">
        <v>1431</v>
      </c>
      <c r="B167" t="s">
        <v>351</v>
      </c>
      <c r="C167" t="s">
        <v>196</v>
      </c>
      <c r="D167" t="s">
        <v>230</v>
      </c>
      <c r="E167" t="s">
        <v>237</v>
      </c>
      <c r="F167">
        <f ca="1">VLOOKUP(B167, Orders!A:E, 3, FALSE) + RANDBETWEEN(0,2)</f>
        <v>45909</v>
      </c>
      <c r="G167">
        <f ca="1">F167+VLOOKUP(E167,Routes!A:D,4,FALSE)</f>
        <v>45911</v>
      </c>
      <c r="H167">
        <f t="shared" ca="1" si="8"/>
        <v>45914</v>
      </c>
      <c r="I167">
        <f t="shared" ca="1" si="9"/>
        <v>3</v>
      </c>
      <c r="J167" t="str">
        <f t="shared" ca="1" si="10"/>
        <v>Late</v>
      </c>
      <c r="K167" t="str">
        <f t="shared" ca="1" si="11"/>
        <v>Major Delay</v>
      </c>
    </row>
    <row r="168" spans="1:11" x14ac:dyDescent="0.25">
      <c r="A168" t="s">
        <v>1432</v>
      </c>
      <c r="B168" t="s">
        <v>384</v>
      </c>
      <c r="C168" t="s">
        <v>196</v>
      </c>
      <c r="D168" t="s">
        <v>217</v>
      </c>
      <c r="E168" t="s">
        <v>244</v>
      </c>
      <c r="F168">
        <f ca="1">VLOOKUP(B168, Orders!A:E, 3, FALSE) + RANDBETWEEN(0,2)</f>
        <v>45778</v>
      </c>
      <c r="G168">
        <f ca="1">F168+VLOOKUP(E168,Routes!A:D,4,FALSE)</f>
        <v>45781</v>
      </c>
      <c r="H168">
        <f t="shared" ca="1" si="8"/>
        <v>45781</v>
      </c>
      <c r="I168">
        <f t="shared" ca="1" si="9"/>
        <v>0</v>
      </c>
      <c r="J168" t="str">
        <f t="shared" ca="1" si="10"/>
        <v>On Time</v>
      </c>
      <c r="K168" t="str">
        <f t="shared" ca="1" si="11"/>
        <v>On Time</v>
      </c>
    </row>
    <row r="169" spans="1:11" x14ac:dyDescent="0.25">
      <c r="A169" t="s">
        <v>1433</v>
      </c>
      <c r="B169" t="s">
        <v>457</v>
      </c>
      <c r="C169" t="s">
        <v>203</v>
      </c>
      <c r="D169" t="s">
        <v>223</v>
      </c>
      <c r="E169" t="s">
        <v>257</v>
      </c>
      <c r="F169">
        <f ca="1">VLOOKUP(B169, Orders!A:E, 3, FALSE) + RANDBETWEEN(0,2)</f>
        <v>45988</v>
      </c>
      <c r="G169">
        <f ca="1">F169+VLOOKUP(E169,Routes!A:D,4,FALSE)</f>
        <v>45991</v>
      </c>
      <c r="H169">
        <f t="shared" ca="1" si="8"/>
        <v>45991</v>
      </c>
      <c r="I169">
        <f t="shared" ca="1" si="9"/>
        <v>0</v>
      </c>
      <c r="J169" t="str">
        <f t="shared" ca="1" si="10"/>
        <v>On Time</v>
      </c>
      <c r="K169" t="str">
        <f t="shared" ca="1" si="11"/>
        <v>On Time</v>
      </c>
    </row>
    <row r="170" spans="1:11" x14ac:dyDescent="0.25">
      <c r="A170" t="s">
        <v>1434</v>
      </c>
      <c r="B170" t="s">
        <v>423</v>
      </c>
      <c r="C170" t="s">
        <v>200</v>
      </c>
      <c r="D170" t="s">
        <v>230</v>
      </c>
      <c r="E170" t="s">
        <v>247</v>
      </c>
      <c r="F170">
        <f ca="1">VLOOKUP(B170, Orders!A:E, 3, FALSE) + RANDBETWEEN(0,2)</f>
        <v>45869</v>
      </c>
      <c r="G170">
        <f ca="1">F170+VLOOKUP(E170,Routes!A:D,4,FALSE)</f>
        <v>45873</v>
      </c>
      <c r="H170">
        <f t="shared" ca="1" si="8"/>
        <v>45873</v>
      </c>
      <c r="I170">
        <f t="shared" ca="1" si="9"/>
        <v>0</v>
      </c>
      <c r="J170" t="str">
        <f t="shared" ca="1" si="10"/>
        <v>On Time</v>
      </c>
      <c r="K170" t="str">
        <f t="shared" ca="1" si="11"/>
        <v>On Time</v>
      </c>
    </row>
    <row r="171" spans="1:11" x14ac:dyDescent="0.25">
      <c r="A171" t="s">
        <v>1435</v>
      </c>
      <c r="B171" t="s">
        <v>317</v>
      </c>
      <c r="C171" t="s">
        <v>203</v>
      </c>
      <c r="D171" t="s">
        <v>213</v>
      </c>
      <c r="E171" t="s">
        <v>240</v>
      </c>
      <c r="F171">
        <f ca="1">VLOOKUP(B171, Orders!A:E, 3, FALSE) + RANDBETWEEN(0,2)</f>
        <v>46013</v>
      </c>
      <c r="G171">
        <f ca="1">F171+VLOOKUP(E171,Routes!A:D,4,FALSE)</f>
        <v>46017</v>
      </c>
      <c r="H171">
        <f t="shared" ca="1" si="8"/>
        <v>46019</v>
      </c>
      <c r="I171">
        <f t="shared" ca="1" si="9"/>
        <v>2</v>
      </c>
      <c r="J171" t="str">
        <f t="shared" ca="1" si="10"/>
        <v>Late</v>
      </c>
      <c r="K171" t="str">
        <f t="shared" ca="1" si="11"/>
        <v>Minor Delay</v>
      </c>
    </row>
    <row r="172" spans="1:11" x14ac:dyDescent="0.25">
      <c r="A172" t="s">
        <v>1436</v>
      </c>
      <c r="B172" t="s">
        <v>325</v>
      </c>
      <c r="C172" t="s">
        <v>192</v>
      </c>
      <c r="D172" t="s">
        <v>230</v>
      </c>
      <c r="E172" t="s">
        <v>246</v>
      </c>
      <c r="F172">
        <f ca="1">VLOOKUP(B172, Orders!A:E, 3, FALSE) + RANDBETWEEN(0,2)</f>
        <v>45791</v>
      </c>
      <c r="G172">
        <f ca="1">F172+VLOOKUP(E172,Routes!A:D,4,FALSE)</f>
        <v>45794</v>
      </c>
      <c r="H172">
        <f t="shared" ca="1" si="8"/>
        <v>45799</v>
      </c>
      <c r="I172">
        <f t="shared" ca="1" si="9"/>
        <v>5</v>
      </c>
      <c r="J172" t="str">
        <f t="shared" ca="1" si="10"/>
        <v>Late</v>
      </c>
      <c r="K172" t="str">
        <f t="shared" ca="1" si="11"/>
        <v>Major Delay</v>
      </c>
    </row>
    <row r="173" spans="1:11" x14ac:dyDescent="0.25">
      <c r="A173" t="s">
        <v>1437</v>
      </c>
      <c r="B173" t="s">
        <v>377</v>
      </c>
      <c r="C173" t="s">
        <v>203</v>
      </c>
      <c r="D173" t="s">
        <v>227</v>
      </c>
      <c r="E173" t="s">
        <v>247</v>
      </c>
      <c r="F173">
        <f ca="1">VLOOKUP(B173, Orders!A:E, 3, FALSE) + RANDBETWEEN(0,2)</f>
        <v>46026</v>
      </c>
      <c r="G173">
        <f ca="1">F173+VLOOKUP(E173,Routes!A:D,4,FALSE)</f>
        <v>46030</v>
      </c>
      <c r="H173">
        <f t="shared" ca="1" si="8"/>
        <v>46033</v>
      </c>
      <c r="I173">
        <f t="shared" ca="1" si="9"/>
        <v>3</v>
      </c>
      <c r="J173" t="str">
        <f t="shared" ca="1" si="10"/>
        <v>Late</v>
      </c>
      <c r="K173" t="str">
        <f t="shared" ca="1" si="11"/>
        <v>Major Delay</v>
      </c>
    </row>
    <row r="174" spans="1:11" x14ac:dyDescent="0.25">
      <c r="A174" t="s">
        <v>1438</v>
      </c>
      <c r="B174" t="s">
        <v>359</v>
      </c>
      <c r="C174" t="s">
        <v>203</v>
      </c>
      <c r="D174" t="s">
        <v>230</v>
      </c>
      <c r="E174" t="s">
        <v>240</v>
      </c>
      <c r="F174">
        <f ca="1">VLOOKUP(B174, Orders!A:E, 3, FALSE) + RANDBETWEEN(0,2)</f>
        <v>45924</v>
      </c>
      <c r="G174">
        <f ca="1">F174+VLOOKUP(E174,Routes!A:D,4,FALSE)</f>
        <v>45928</v>
      </c>
      <c r="H174">
        <f t="shared" ca="1" si="8"/>
        <v>45930</v>
      </c>
      <c r="I174">
        <f t="shared" ca="1" si="9"/>
        <v>2</v>
      </c>
      <c r="J174" t="str">
        <f t="shared" ca="1" si="10"/>
        <v>Late</v>
      </c>
      <c r="K174" t="str">
        <f t="shared" ca="1" si="11"/>
        <v>Minor Delay</v>
      </c>
    </row>
    <row r="175" spans="1:11" x14ac:dyDescent="0.25">
      <c r="A175" t="s">
        <v>1439</v>
      </c>
      <c r="B175" t="s">
        <v>512</v>
      </c>
      <c r="C175" t="s">
        <v>192</v>
      </c>
      <c r="D175" t="s">
        <v>230</v>
      </c>
      <c r="E175" t="s">
        <v>242</v>
      </c>
      <c r="F175">
        <f ca="1">VLOOKUP(B175, Orders!A:E, 3, FALSE) + RANDBETWEEN(0,2)</f>
        <v>45963</v>
      </c>
      <c r="G175">
        <f ca="1">F175+VLOOKUP(E175,Routes!A:D,4,FALSE)</f>
        <v>45967</v>
      </c>
      <c r="H175">
        <f t="shared" ca="1" si="8"/>
        <v>45967</v>
      </c>
      <c r="I175">
        <f t="shared" ca="1" si="9"/>
        <v>0</v>
      </c>
      <c r="J175" t="str">
        <f t="shared" ca="1" si="10"/>
        <v>On Time</v>
      </c>
      <c r="K175" t="str">
        <f t="shared" ca="1" si="11"/>
        <v>On Time</v>
      </c>
    </row>
    <row r="176" spans="1:11" x14ac:dyDescent="0.25">
      <c r="A176" t="s">
        <v>1440</v>
      </c>
      <c r="B176" t="s">
        <v>444</v>
      </c>
      <c r="C176" t="s">
        <v>206</v>
      </c>
      <c r="D176" t="s">
        <v>230</v>
      </c>
      <c r="E176" t="s">
        <v>242</v>
      </c>
      <c r="F176">
        <f ca="1">VLOOKUP(B176, Orders!A:E, 3, FALSE) + RANDBETWEEN(0,2)</f>
        <v>45935</v>
      </c>
      <c r="G176">
        <f ca="1">F176+VLOOKUP(E176,Routes!A:D,4,FALSE)</f>
        <v>45939</v>
      </c>
      <c r="H176">
        <f t="shared" ca="1" si="8"/>
        <v>45939</v>
      </c>
      <c r="I176">
        <f t="shared" ca="1" si="9"/>
        <v>0</v>
      </c>
      <c r="J176" t="str">
        <f t="shared" ca="1" si="10"/>
        <v>On Time</v>
      </c>
      <c r="K176" t="str">
        <f t="shared" ca="1" si="11"/>
        <v>On Time</v>
      </c>
    </row>
    <row r="177" spans="1:11" x14ac:dyDescent="0.25">
      <c r="A177" t="s">
        <v>1441</v>
      </c>
      <c r="B177" t="s">
        <v>408</v>
      </c>
      <c r="C177" t="s">
        <v>203</v>
      </c>
      <c r="D177" t="s">
        <v>220</v>
      </c>
      <c r="E177" t="s">
        <v>251</v>
      </c>
      <c r="F177">
        <f ca="1">VLOOKUP(B177, Orders!A:E, 3, FALSE) + RANDBETWEEN(0,2)</f>
        <v>45946</v>
      </c>
      <c r="G177">
        <f ca="1">F177+VLOOKUP(E177,Routes!A:D,4,FALSE)</f>
        <v>45950</v>
      </c>
      <c r="H177">
        <f t="shared" ca="1" si="8"/>
        <v>45950</v>
      </c>
      <c r="I177">
        <f t="shared" ca="1" si="9"/>
        <v>0</v>
      </c>
      <c r="J177" t="str">
        <f t="shared" ca="1" si="10"/>
        <v>On Time</v>
      </c>
      <c r="K177" t="str">
        <f t="shared" ca="1" si="11"/>
        <v>On Time</v>
      </c>
    </row>
    <row r="178" spans="1:11" x14ac:dyDescent="0.25">
      <c r="A178" t="s">
        <v>1442</v>
      </c>
      <c r="B178" t="s">
        <v>330</v>
      </c>
      <c r="C178" t="s">
        <v>192</v>
      </c>
      <c r="D178" t="s">
        <v>230</v>
      </c>
      <c r="E178" t="s">
        <v>253</v>
      </c>
      <c r="F178">
        <f ca="1">VLOOKUP(B178, Orders!A:E, 3, FALSE) + RANDBETWEEN(0,2)</f>
        <v>45804</v>
      </c>
      <c r="G178">
        <f ca="1">F178+VLOOKUP(E178,Routes!A:D,4,FALSE)</f>
        <v>45808</v>
      </c>
      <c r="H178">
        <f t="shared" ca="1" si="8"/>
        <v>45812</v>
      </c>
      <c r="I178">
        <f t="shared" ca="1" si="9"/>
        <v>4</v>
      </c>
      <c r="J178" t="str">
        <f t="shared" ca="1" si="10"/>
        <v>Late</v>
      </c>
      <c r="K178" t="str">
        <f t="shared" ca="1" si="11"/>
        <v>Major Delay</v>
      </c>
    </row>
    <row r="179" spans="1:11" x14ac:dyDescent="0.25">
      <c r="A179" t="s">
        <v>1443</v>
      </c>
      <c r="B179" t="s">
        <v>320</v>
      </c>
      <c r="C179" t="s">
        <v>196</v>
      </c>
      <c r="D179" t="s">
        <v>223</v>
      </c>
      <c r="E179" t="s">
        <v>246</v>
      </c>
      <c r="F179">
        <f ca="1">VLOOKUP(B179, Orders!A:E, 3, FALSE) + RANDBETWEEN(0,2)</f>
        <v>45823</v>
      </c>
      <c r="G179">
        <f ca="1">F179+VLOOKUP(E179,Routes!A:D,4,FALSE)</f>
        <v>45826</v>
      </c>
      <c r="H179">
        <f t="shared" ca="1" si="8"/>
        <v>45826</v>
      </c>
      <c r="I179">
        <f t="shared" ca="1" si="9"/>
        <v>0</v>
      </c>
      <c r="J179" t="str">
        <f t="shared" ca="1" si="10"/>
        <v>On Time</v>
      </c>
      <c r="K179" t="str">
        <f t="shared" ca="1" si="11"/>
        <v>On Time</v>
      </c>
    </row>
    <row r="180" spans="1:11" x14ac:dyDescent="0.25">
      <c r="A180" t="s">
        <v>1444</v>
      </c>
      <c r="B180" t="s">
        <v>385</v>
      </c>
      <c r="C180" t="s">
        <v>192</v>
      </c>
      <c r="D180" t="s">
        <v>213</v>
      </c>
      <c r="E180" t="s">
        <v>249</v>
      </c>
      <c r="F180">
        <f ca="1">VLOOKUP(B180, Orders!A:E, 3, FALSE) + RANDBETWEEN(0,2)</f>
        <v>45817</v>
      </c>
      <c r="G180">
        <f ca="1">F180+VLOOKUP(E180,Routes!A:D,4,FALSE)</f>
        <v>45819</v>
      </c>
      <c r="H180">
        <f t="shared" ca="1" si="8"/>
        <v>45823</v>
      </c>
      <c r="I180">
        <f t="shared" ca="1" si="9"/>
        <v>4</v>
      </c>
      <c r="J180" t="str">
        <f t="shared" ca="1" si="10"/>
        <v>Late</v>
      </c>
      <c r="K180" t="str">
        <f t="shared" ca="1" si="11"/>
        <v>Major Delay</v>
      </c>
    </row>
    <row r="181" spans="1:11" x14ac:dyDescent="0.25">
      <c r="A181" t="s">
        <v>1445</v>
      </c>
      <c r="B181" t="s">
        <v>344</v>
      </c>
      <c r="C181" t="s">
        <v>200</v>
      </c>
      <c r="D181" t="s">
        <v>223</v>
      </c>
      <c r="E181" t="s">
        <v>246</v>
      </c>
      <c r="F181">
        <f ca="1">VLOOKUP(B181, Orders!A:E, 3, FALSE) + RANDBETWEEN(0,2)</f>
        <v>45867</v>
      </c>
      <c r="G181">
        <f ca="1">F181+VLOOKUP(E181,Routes!A:D,4,FALSE)</f>
        <v>45870</v>
      </c>
      <c r="H181">
        <f t="shared" ca="1" si="8"/>
        <v>45870</v>
      </c>
      <c r="I181">
        <f t="shared" ca="1" si="9"/>
        <v>0</v>
      </c>
      <c r="J181" t="str">
        <f t="shared" ca="1" si="10"/>
        <v>On Time</v>
      </c>
      <c r="K181" t="str">
        <f t="shared" ca="1" si="11"/>
        <v>On Time</v>
      </c>
    </row>
    <row r="182" spans="1:11" x14ac:dyDescent="0.25">
      <c r="A182" t="s">
        <v>1446</v>
      </c>
      <c r="B182" t="s">
        <v>403</v>
      </c>
      <c r="C182" t="s">
        <v>203</v>
      </c>
      <c r="D182" t="s">
        <v>213</v>
      </c>
      <c r="E182" t="s">
        <v>257</v>
      </c>
      <c r="F182">
        <f ca="1">VLOOKUP(B182, Orders!A:E, 3, FALSE) + RANDBETWEEN(0,2)</f>
        <v>45904</v>
      </c>
      <c r="G182">
        <f ca="1">F182+VLOOKUP(E182,Routes!A:D,4,FALSE)</f>
        <v>45907</v>
      </c>
      <c r="H182">
        <f t="shared" ca="1" si="8"/>
        <v>45907</v>
      </c>
      <c r="I182">
        <f t="shared" ca="1" si="9"/>
        <v>0</v>
      </c>
      <c r="J182" t="str">
        <f t="shared" ca="1" si="10"/>
        <v>On Time</v>
      </c>
      <c r="K182" t="str">
        <f t="shared" ca="1" si="11"/>
        <v>On Time</v>
      </c>
    </row>
    <row r="183" spans="1:11" x14ac:dyDescent="0.25">
      <c r="A183" t="s">
        <v>1447</v>
      </c>
      <c r="B183" t="s">
        <v>424</v>
      </c>
      <c r="C183" t="s">
        <v>200</v>
      </c>
      <c r="D183" t="s">
        <v>213</v>
      </c>
      <c r="E183" t="s">
        <v>249</v>
      </c>
      <c r="F183">
        <f ca="1">VLOOKUP(B183, Orders!A:E, 3, FALSE) + RANDBETWEEN(0,2)</f>
        <v>45896</v>
      </c>
      <c r="G183">
        <f ca="1">F183+VLOOKUP(E183,Routes!A:D,4,FALSE)</f>
        <v>45898</v>
      </c>
      <c r="H183">
        <f t="shared" ca="1" si="8"/>
        <v>45898</v>
      </c>
      <c r="I183">
        <f t="shared" ca="1" si="9"/>
        <v>0</v>
      </c>
      <c r="J183" t="str">
        <f t="shared" ca="1" si="10"/>
        <v>On Time</v>
      </c>
      <c r="K183" t="str">
        <f t="shared" ca="1" si="11"/>
        <v>On Time</v>
      </c>
    </row>
    <row r="184" spans="1:11" x14ac:dyDescent="0.25">
      <c r="A184" t="s">
        <v>1448</v>
      </c>
      <c r="B184" t="s">
        <v>442</v>
      </c>
      <c r="C184" t="s">
        <v>200</v>
      </c>
      <c r="D184" t="s">
        <v>213</v>
      </c>
      <c r="E184" t="s">
        <v>251</v>
      </c>
      <c r="F184">
        <f ca="1">VLOOKUP(B184, Orders!A:E, 3, FALSE) + RANDBETWEEN(0,2)</f>
        <v>45802</v>
      </c>
      <c r="G184">
        <f ca="1">F184+VLOOKUP(E184,Routes!A:D,4,FALSE)</f>
        <v>45806</v>
      </c>
      <c r="H184">
        <f t="shared" ca="1" si="8"/>
        <v>45808</v>
      </c>
      <c r="I184">
        <f t="shared" ca="1" si="9"/>
        <v>2</v>
      </c>
      <c r="J184" t="str">
        <f t="shared" ca="1" si="10"/>
        <v>Late</v>
      </c>
      <c r="K184" t="str">
        <f t="shared" ca="1" si="11"/>
        <v>Minor Delay</v>
      </c>
    </row>
    <row r="185" spans="1:11" x14ac:dyDescent="0.25">
      <c r="A185" t="s">
        <v>1449</v>
      </c>
      <c r="B185" t="s">
        <v>480</v>
      </c>
      <c r="C185" t="s">
        <v>200</v>
      </c>
      <c r="D185" t="s">
        <v>227</v>
      </c>
      <c r="E185" t="s">
        <v>251</v>
      </c>
      <c r="F185">
        <f ca="1">VLOOKUP(B185, Orders!A:E, 3, FALSE) + RANDBETWEEN(0,2)</f>
        <v>45916</v>
      </c>
      <c r="G185">
        <f ca="1">F185+VLOOKUP(E185,Routes!A:D,4,FALSE)</f>
        <v>45920</v>
      </c>
      <c r="H185">
        <f t="shared" ca="1" si="8"/>
        <v>45920</v>
      </c>
      <c r="I185">
        <f t="shared" ca="1" si="9"/>
        <v>0</v>
      </c>
      <c r="J185" t="str">
        <f t="shared" ca="1" si="10"/>
        <v>On Time</v>
      </c>
      <c r="K185" t="str">
        <f t="shared" ca="1" si="11"/>
        <v>On Time</v>
      </c>
    </row>
    <row r="186" spans="1:11" x14ac:dyDescent="0.25">
      <c r="A186" t="s">
        <v>1450</v>
      </c>
      <c r="B186" t="s">
        <v>477</v>
      </c>
      <c r="C186" t="s">
        <v>192</v>
      </c>
      <c r="D186" t="s">
        <v>230</v>
      </c>
      <c r="E186" t="s">
        <v>259</v>
      </c>
      <c r="F186">
        <f ca="1">VLOOKUP(B186, Orders!A:E, 3, FALSE) + RANDBETWEEN(0,2)</f>
        <v>46053</v>
      </c>
      <c r="G186">
        <f ca="1">F186+VLOOKUP(E186,Routes!A:D,4,FALSE)</f>
        <v>46055</v>
      </c>
      <c r="H186">
        <f t="shared" ca="1" si="8"/>
        <v>46058</v>
      </c>
      <c r="I186">
        <f t="shared" ca="1" si="9"/>
        <v>3</v>
      </c>
      <c r="J186" t="str">
        <f t="shared" ca="1" si="10"/>
        <v>Late</v>
      </c>
      <c r="K186" t="str">
        <f t="shared" ca="1" si="11"/>
        <v>Major Delay</v>
      </c>
    </row>
    <row r="187" spans="1:11" x14ac:dyDescent="0.25">
      <c r="A187" t="s">
        <v>1451</v>
      </c>
      <c r="B187" t="s">
        <v>411</v>
      </c>
      <c r="C187" t="s">
        <v>196</v>
      </c>
      <c r="D187" t="s">
        <v>223</v>
      </c>
      <c r="E187" t="s">
        <v>251</v>
      </c>
      <c r="F187">
        <f ca="1">VLOOKUP(B187, Orders!A:E, 3, FALSE) + RANDBETWEEN(0,2)</f>
        <v>45829</v>
      </c>
      <c r="G187">
        <f ca="1">F187+VLOOKUP(E187,Routes!A:D,4,FALSE)</f>
        <v>45833</v>
      </c>
      <c r="H187">
        <f t="shared" ca="1" si="8"/>
        <v>45833</v>
      </c>
      <c r="I187">
        <f t="shared" ca="1" si="9"/>
        <v>0</v>
      </c>
      <c r="J187" t="str">
        <f t="shared" ca="1" si="10"/>
        <v>On Time</v>
      </c>
      <c r="K187" t="str">
        <f t="shared" ca="1" si="11"/>
        <v>On Time</v>
      </c>
    </row>
    <row r="188" spans="1:11" x14ac:dyDescent="0.25">
      <c r="A188" t="s">
        <v>1452</v>
      </c>
      <c r="B188" t="s">
        <v>479</v>
      </c>
      <c r="C188" t="s">
        <v>206</v>
      </c>
      <c r="D188" t="s">
        <v>230</v>
      </c>
      <c r="E188" t="s">
        <v>257</v>
      </c>
      <c r="F188">
        <f ca="1">VLOOKUP(B188, Orders!A:E, 3, FALSE) + RANDBETWEEN(0,2)</f>
        <v>45882</v>
      </c>
      <c r="G188">
        <f ca="1">F188+VLOOKUP(E188,Routes!A:D,4,FALSE)</f>
        <v>45885</v>
      </c>
      <c r="H188">
        <f t="shared" ca="1" si="8"/>
        <v>45885</v>
      </c>
      <c r="I188">
        <f t="shared" ca="1" si="9"/>
        <v>0</v>
      </c>
      <c r="J188" t="str">
        <f t="shared" ca="1" si="10"/>
        <v>On Time</v>
      </c>
      <c r="K188" t="str">
        <f t="shared" ca="1" si="11"/>
        <v>On Time</v>
      </c>
    </row>
    <row r="189" spans="1:11" x14ac:dyDescent="0.25">
      <c r="A189" t="s">
        <v>1453</v>
      </c>
      <c r="B189" t="s">
        <v>472</v>
      </c>
      <c r="C189" t="s">
        <v>203</v>
      </c>
      <c r="D189" t="s">
        <v>213</v>
      </c>
      <c r="E189" t="s">
        <v>242</v>
      </c>
      <c r="F189">
        <f ca="1">VLOOKUP(B189, Orders!A:E, 3, FALSE) + RANDBETWEEN(0,2)</f>
        <v>45969</v>
      </c>
      <c r="G189">
        <f ca="1">F189+VLOOKUP(E189,Routes!A:D,4,FALSE)</f>
        <v>45973</v>
      </c>
      <c r="H189">
        <f t="shared" ca="1" si="8"/>
        <v>45973</v>
      </c>
      <c r="I189">
        <f t="shared" ca="1" si="9"/>
        <v>0</v>
      </c>
      <c r="J189" t="str">
        <f t="shared" ca="1" si="10"/>
        <v>On Time</v>
      </c>
      <c r="K189" t="str">
        <f t="shared" ca="1" si="11"/>
        <v>On Time</v>
      </c>
    </row>
    <row r="190" spans="1:11" x14ac:dyDescent="0.25">
      <c r="A190" t="s">
        <v>1454</v>
      </c>
      <c r="B190" t="s">
        <v>496</v>
      </c>
      <c r="C190" t="s">
        <v>200</v>
      </c>
      <c r="D190" t="s">
        <v>220</v>
      </c>
      <c r="E190" t="s">
        <v>246</v>
      </c>
      <c r="F190">
        <f ca="1">VLOOKUP(B190, Orders!A:E, 3, FALSE) + RANDBETWEEN(0,2)</f>
        <v>45909</v>
      </c>
      <c r="G190">
        <f ca="1">F190+VLOOKUP(E190,Routes!A:D,4,FALSE)</f>
        <v>45912</v>
      </c>
      <c r="H190">
        <f t="shared" ca="1" si="8"/>
        <v>45912</v>
      </c>
      <c r="I190">
        <f t="shared" ca="1" si="9"/>
        <v>0</v>
      </c>
      <c r="J190" t="str">
        <f t="shared" ca="1" si="10"/>
        <v>On Time</v>
      </c>
      <c r="K190" t="str">
        <f t="shared" ca="1" si="11"/>
        <v>On Time</v>
      </c>
    </row>
    <row r="191" spans="1:11" x14ac:dyDescent="0.25">
      <c r="A191" t="s">
        <v>1455</v>
      </c>
      <c r="B191" t="s">
        <v>463</v>
      </c>
      <c r="C191" t="s">
        <v>206</v>
      </c>
      <c r="D191" t="s">
        <v>230</v>
      </c>
      <c r="E191" t="s">
        <v>237</v>
      </c>
      <c r="F191">
        <f ca="1">VLOOKUP(B191, Orders!A:E, 3, FALSE) + RANDBETWEEN(0,2)</f>
        <v>45804</v>
      </c>
      <c r="G191">
        <f ca="1">F191+VLOOKUP(E191,Routes!A:D,4,FALSE)</f>
        <v>45806</v>
      </c>
      <c r="H191">
        <f t="shared" ca="1" si="8"/>
        <v>45806</v>
      </c>
      <c r="I191">
        <f t="shared" ca="1" si="9"/>
        <v>0</v>
      </c>
      <c r="J191" t="str">
        <f t="shared" ca="1" si="10"/>
        <v>On Time</v>
      </c>
      <c r="K191" t="str">
        <f t="shared" ca="1" si="11"/>
        <v>On Time</v>
      </c>
    </row>
    <row r="192" spans="1:11" x14ac:dyDescent="0.25">
      <c r="A192" t="s">
        <v>1456</v>
      </c>
      <c r="B192" t="s">
        <v>344</v>
      </c>
      <c r="C192" t="s">
        <v>196</v>
      </c>
      <c r="D192" t="s">
        <v>230</v>
      </c>
      <c r="E192" t="s">
        <v>255</v>
      </c>
      <c r="F192">
        <f ca="1">VLOOKUP(B192, Orders!A:E, 3, FALSE) + RANDBETWEEN(0,2)</f>
        <v>45868</v>
      </c>
      <c r="G192">
        <f ca="1">F192+VLOOKUP(E192,Routes!A:D,4,FALSE)</f>
        <v>45871</v>
      </c>
      <c r="H192">
        <f t="shared" ca="1" si="8"/>
        <v>45871</v>
      </c>
      <c r="I192">
        <f t="shared" ca="1" si="9"/>
        <v>0</v>
      </c>
      <c r="J192" t="str">
        <f t="shared" ca="1" si="10"/>
        <v>On Time</v>
      </c>
      <c r="K192" t="str">
        <f t="shared" ca="1" si="11"/>
        <v>On Time</v>
      </c>
    </row>
    <row r="193" spans="1:11" x14ac:dyDescent="0.25">
      <c r="A193" t="s">
        <v>1457</v>
      </c>
      <c r="B193" t="s">
        <v>418</v>
      </c>
      <c r="C193" t="s">
        <v>206</v>
      </c>
      <c r="D193" t="s">
        <v>213</v>
      </c>
      <c r="E193" t="s">
        <v>259</v>
      </c>
      <c r="F193">
        <f ca="1">VLOOKUP(B193, Orders!A:E, 3, FALSE) + RANDBETWEEN(0,2)</f>
        <v>45951</v>
      </c>
      <c r="G193">
        <f ca="1">F193+VLOOKUP(E193,Routes!A:D,4,FALSE)</f>
        <v>45953</v>
      </c>
      <c r="H193">
        <f t="shared" ca="1" si="8"/>
        <v>45954</v>
      </c>
      <c r="I193">
        <f t="shared" ca="1" si="9"/>
        <v>1</v>
      </c>
      <c r="J193" t="str">
        <f t="shared" ca="1" si="10"/>
        <v>Late</v>
      </c>
      <c r="K193" t="str">
        <f t="shared" ca="1" si="11"/>
        <v>Minor Delay</v>
      </c>
    </row>
    <row r="194" spans="1:11" x14ac:dyDescent="0.25">
      <c r="A194" t="s">
        <v>1458</v>
      </c>
      <c r="B194" t="s">
        <v>416</v>
      </c>
      <c r="C194" t="s">
        <v>196</v>
      </c>
      <c r="D194" t="s">
        <v>227</v>
      </c>
      <c r="E194" t="s">
        <v>257</v>
      </c>
      <c r="F194">
        <f ca="1">VLOOKUP(B194, Orders!A:E, 3, FALSE) + RANDBETWEEN(0,2)</f>
        <v>45787</v>
      </c>
      <c r="G194">
        <f ca="1">F194+VLOOKUP(E194,Routes!A:D,4,FALSE)</f>
        <v>45790</v>
      </c>
      <c r="H194">
        <f t="shared" ca="1" si="8"/>
        <v>45790</v>
      </c>
      <c r="I194">
        <f t="shared" ca="1" si="9"/>
        <v>0</v>
      </c>
      <c r="J194" t="str">
        <f t="shared" ca="1" si="10"/>
        <v>On Time</v>
      </c>
      <c r="K194" t="str">
        <f t="shared" ca="1" si="11"/>
        <v>On Time</v>
      </c>
    </row>
    <row r="195" spans="1:11" x14ac:dyDescent="0.25">
      <c r="A195" t="s">
        <v>1459</v>
      </c>
      <c r="B195" t="s">
        <v>388</v>
      </c>
      <c r="C195" t="s">
        <v>206</v>
      </c>
      <c r="D195" t="s">
        <v>217</v>
      </c>
      <c r="E195" t="s">
        <v>246</v>
      </c>
      <c r="F195">
        <f ca="1">VLOOKUP(B195, Orders!A:E, 3, FALSE) + RANDBETWEEN(0,2)</f>
        <v>45969</v>
      </c>
      <c r="G195">
        <f ca="1">F195+VLOOKUP(E195,Routes!A:D,4,FALSE)</f>
        <v>45972</v>
      </c>
      <c r="H195">
        <f t="shared" ref="H195:H258" ca="1" si="12">G195+IF(RAND()&lt;0.3,RANDBETWEEN(1,5),0)</f>
        <v>45972</v>
      </c>
      <c r="I195">
        <f t="shared" ref="I195:I258" ca="1" si="13">H195-G195</f>
        <v>0</v>
      </c>
      <c r="J195" t="str">
        <f t="shared" ref="J195:J258" ca="1" si="14">IF(I195&gt;0,"Late", "On Time")</f>
        <v>On Time</v>
      </c>
      <c r="K195" t="str">
        <f t="shared" ref="K195:K258" ca="1" si="15">IF(I195&lt;=0, "On Time",  IF(I195&lt;=2, "Minor Delay", "Major Delay"))</f>
        <v>On Time</v>
      </c>
    </row>
    <row r="196" spans="1:11" x14ac:dyDescent="0.25">
      <c r="A196" t="s">
        <v>1460</v>
      </c>
      <c r="B196" t="s">
        <v>313</v>
      </c>
      <c r="C196" t="s">
        <v>203</v>
      </c>
      <c r="D196" t="s">
        <v>230</v>
      </c>
      <c r="E196" t="s">
        <v>257</v>
      </c>
      <c r="F196">
        <f ca="1">VLOOKUP(B196, Orders!A:E, 3, FALSE) + RANDBETWEEN(0,2)</f>
        <v>45792</v>
      </c>
      <c r="G196">
        <f ca="1">F196+VLOOKUP(E196,Routes!A:D,4,FALSE)</f>
        <v>45795</v>
      </c>
      <c r="H196">
        <f t="shared" ca="1" si="12"/>
        <v>45800</v>
      </c>
      <c r="I196">
        <f t="shared" ca="1" si="13"/>
        <v>5</v>
      </c>
      <c r="J196" t="str">
        <f t="shared" ca="1" si="14"/>
        <v>Late</v>
      </c>
      <c r="K196" t="str">
        <f t="shared" ca="1" si="15"/>
        <v>Major Delay</v>
      </c>
    </row>
    <row r="197" spans="1:11" x14ac:dyDescent="0.25">
      <c r="A197" t="s">
        <v>1461</v>
      </c>
      <c r="B197" t="s">
        <v>478</v>
      </c>
      <c r="C197" t="s">
        <v>192</v>
      </c>
      <c r="D197" t="s">
        <v>217</v>
      </c>
      <c r="E197" t="s">
        <v>247</v>
      </c>
      <c r="F197">
        <f ca="1">VLOOKUP(B197, Orders!A:E, 3, FALSE) + RANDBETWEEN(0,2)</f>
        <v>45978</v>
      </c>
      <c r="G197">
        <f ca="1">F197+VLOOKUP(E197,Routes!A:D,4,FALSE)</f>
        <v>45982</v>
      </c>
      <c r="H197">
        <f t="shared" ca="1" si="12"/>
        <v>45985</v>
      </c>
      <c r="I197">
        <f t="shared" ca="1" si="13"/>
        <v>3</v>
      </c>
      <c r="J197" t="str">
        <f t="shared" ca="1" si="14"/>
        <v>Late</v>
      </c>
      <c r="K197" t="str">
        <f t="shared" ca="1" si="15"/>
        <v>Major Delay</v>
      </c>
    </row>
    <row r="198" spans="1:11" x14ac:dyDescent="0.25">
      <c r="A198" t="s">
        <v>1462</v>
      </c>
      <c r="B198" t="s">
        <v>286</v>
      </c>
      <c r="C198" t="s">
        <v>196</v>
      </c>
      <c r="D198" t="s">
        <v>220</v>
      </c>
      <c r="E198" t="s">
        <v>237</v>
      </c>
      <c r="F198">
        <f ca="1">VLOOKUP(B198, Orders!A:E, 3, FALSE) + RANDBETWEEN(0,2)</f>
        <v>45955</v>
      </c>
      <c r="G198">
        <f ca="1">F198+VLOOKUP(E198,Routes!A:D,4,FALSE)</f>
        <v>45957</v>
      </c>
      <c r="H198">
        <f t="shared" ca="1" si="12"/>
        <v>45957</v>
      </c>
      <c r="I198">
        <f t="shared" ca="1" si="13"/>
        <v>0</v>
      </c>
      <c r="J198" t="str">
        <f t="shared" ca="1" si="14"/>
        <v>On Time</v>
      </c>
      <c r="K198" t="str">
        <f t="shared" ca="1" si="15"/>
        <v>On Time</v>
      </c>
    </row>
    <row r="199" spans="1:11" x14ac:dyDescent="0.25">
      <c r="A199" t="s">
        <v>1463</v>
      </c>
      <c r="B199" t="s">
        <v>353</v>
      </c>
      <c r="C199" t="s">
        <v>200</v>
      </c>
      <c r="D199" t="s">
        <v>227</v>
      </c>
      <c r="E199" t="s">
        <v>255</v>
      </c>
      <c r="F199">
        <f ca="1">VLOOKUP(B199, Orders!A:E, 3, FALSE) + RANDBETWEEN(0,2)</f>
        <v>45880</v>
      </c>
      <c r="G199">
        <f ca="1">F199+VLOOKUP(E199,Routes!A:D,4,FALSE)</f>
        <v>45883</v>
      </c>
      <c r="H199">
        <f t="shared" ca="1" si="12"/>
        <v>45883</v>
      </c>
      <c r="I199">
        <f t="shared" ca="1" si="13"/>
        <v>0</v>
      </c>
      <c r="J199" t="str">
        <f t="shared" ca="1" si="14"/>
        <v>On Time</v>
      </c>
      <c r="K199" t="str">
        <f t="shared" ca="1" si="15"/>
        <v>On Time</v>
      </c>
    </row>
    <row r="200" spans="1:11" x14ac:dyDescent="0.25">
      <c r="A200" t="s">
        <v>1464</v>
      </c>
      <c r="B200" t="s">
        <v>463</v>
      </c>
      <c r="C200" t="s">
        <v>203</v>
      </c>
      <c r="D200" t="s">
        <v>213</v>
      </c>
      <c r="E200" t="s">
        <v>237</v>
      </c>
      <c r="F200">
        <f ca="1">VLOOKUP(B200, Orders!A:E, 3, FALSE) + RANDBETWEEN(0,2)</f>
        <v>45803</v>
      </c>
      <c r="G200">
        <f ca="1">F200+VLOOKUP(E200,Routes!A:D,4,FALSE)</f>
        <v>45805</v>
      </c>
      <c r="H200">
        <f t="shared" ca="1" si="12"/>
        <v>45810</v>
      </c>
      <c r="I200">
        <f t="shared" ca="1" si="13"/>
        <v>5</v>
      </c>
      <c r="J200" t="str">
        <f t="shared" ca="1" si="14"/>
        <v>Late</v>
      </c>
      <c r="K200" t="str">
        <f t="shared" ca="1" si="15"/>
        <v>Major Delay</v>
      </c>
    </row>
    <row r="201" spans="1:11" x14ac:dyDescent="0.25">
      <c r="A201" t="s">
        <v>1465</v>
      </c>
      <c r="B201" t="s">
        <v>363</v>
      </c>
      <c r="C201" t="s">
        <v>203</v>
      </c>
      <c r="D201" t="s">
        <v>220</v>
      </c>
      <c r="E201" t="s">
        <v>242</v>
      </c>
      <c r="F201">
        <f ca="1">VLOOKUP(B201, Orders!A:E, 3, FALSE) + RANDBETWEEN(0,2)</f>
        <v>46043</v>
      </c>
      <c r="G201">
        <f ca="1">F201+VLOOKUP(E201,Routes!A:D,4,FALSE)</f>
        <v>46047</v>
      </c>
      <c r="H201">
        <f t="shared" ca="1" si="12"/>
        <v>46047</v>
      </c>
      <c r="I201">
        <f t="shared" ca="1" si="13"/>
        <v>0</v>
      </c>
      <c r="J201" t="str">
        <f t="shared" ca="1" si="14"/>
        <v>On Time</v>
      </c>
      <c r="K201" t="str">
        <f t="shared" ca="1" si="15"/>
        <v>On Time</v>
      </c>
    </row>
    <row r="202" spans="1:11" x14ac:dyDescent="0.25">
      <c r="A202" t="s">
        <v>1466</v>
      </c>
      <c r="B202" t="s">
        <v>371</v>
      </c>
      <c r="C202" t="s">
        <v>203</v>
      </c>
      <c r="D202" t="s">
        <v>220</v>
      </c>
      <c r="E202" t="s">
        <v>253</v>
      </c>
      <c r="F202">
        <f ca="1">VLOOKUP(B202, Orders!A:E, 3, FALSE) + RANDBETWEEN(0,2)</f>
        <v>45875</v>
      </c>
      <c r="G202">
        <f ca="1">F202+VLOOKUP(E202,Routes!A:D,4,FALSE)</f>
        <v>45879</v>
      </c>
      <c r="H202">
        <f t="shared" ca="1" si="12"/>
        <v>45879</v>
      </c>
      <c r="I202">
        <f t="shared" ca="1" si="13"/>
        <v>0</v>
      </c>
      <c r="J202" t="str">
        <f t="shared" ca="1" si="14"/>
        <v>On Time</v>
      </c>
      <c r="K202" t="str">
        <f t="shared" ca="1" si="15"/>
        <v>On Time</v>
      </c>
    </row>
    <row r="203" spans="1:11" x14ac:dyDescent="0.25">
      <c r="A203" t="s">
        <v>1467</v>
      </c>
      <c r="B203" t="s">
        <v>454</v>
      </c>
      <c r="C203" t="s">
        <v>203</v>
      </c>
      <c r="D203" t="s">
        <v>217</v>
      </c>
      <c r="E203" t="s">
        <v>237</v>
      </c>
      <c r="F203">
        <f ca="1">VLOOKUP(B203, Orders!A:E, 3, FALSE) + RANDBETWEEN(0,2)</f>
        <v>45995</v>
      </c>
      <c r="G203">
        <f ca="1">F203+VLOOKUP(E203,Routes!A:D,4,FALSE)</f>
        <v>45997</v>
      </c>
      <c r="H203">
        <f t="shared" ca="1" si="12"/>
        <v>45997</v>
      </c>
      <c r="I203">
        <f t="shared" ca="1" si="13"/>
        <v>0</v>
      </c>
      <c r="J203" t="str">
        <f t="shared" ca="1" si="14"/>
        <v>On Time</v>
      </c>
      <c r="K203" t="str">
        <f t="shared" ca="1" si="15"/>
        <v>On Time</v>
      </c>
    </row>
    <row r="204" spans="1:11" x14ac:dyDescent="0.25">
      <c r="A204" t="s">
        <v>1468</v>
      </c>
      <c r="B204" t="s">
        <v>324</v>
      </c>
      <c r="C204" t="s">
        <v>192</v>
      </c>
      <c r="D204" t="s">
        <v>230</v>
      </c>
      <c r="E204" t="s">
        <v>259</v>
      </c>
      <c r="F204">
        <f ca="1">VLOOKUP(B204, Orders!A:E, 3, FALSE) + RANDBETWEEN(0,2)</f>
        <v>46041</v>
      </c>
      <c r="G204">
        <f ca="1">F204+VLOOKUP(E204,Routes!A:D,4,FALSE)</f>
        <v>46043</v>
      </c>
      <c r="H204">
        <f t="shared" ca="1" si="12"/>
        <v>46043</v>
      </c>
      <c r="I204">
        <f t="shared" ca="1" si="13"/>
        <v>0</v>
      </c>
      <c r="J204" t="str">
        <f t="shared" ca="1" si="14"/>
        <v>On Time</v>
      </c>
      <c r="K204" t="str">
        <f t="shared" ca="1" si="15"/>
        <v>On Time</v>
      </c>
    </row>
    <row r="205" spans="1:11" x14ac:dyDescent="0.25">
      <c r="A205" t="s">
        <v>1469</v>
      </c>
      <c r="B205" t="s">
        <v>296</v>
      </c>
      <c r="C205" t="s">
        <v>206</v>
      </c>
      <c r="D205" t="s">
        <v>230</v>
      </c>
      <c r="E205" t="s">
        <v>259</v>
      </c>
      <c r="F205">
        <f ca="1">VLOOKUP(B205, Orders!A:E, 3, FALSE) + RANDBETWEEN(0,2)</f>
        <v>45960</v>
      </c>
      <c r="G205">
        <f ca="1">F205+VLOOKUP(E205,Routes!A:D,4,FALSE)</f>
        <v>45962</v>
      </c>
      <c r="H205">
        <f t="shared" ca="1" si="12"/>
        <v>45962</v>
      </c>
      <c r="I205">
        <f t="shared" ca="1" si="13"/>
        <v>0</v>
      </c>
      <c r="J205" t="str">
        <f t="shared" ca="1" si="14"/>
        <v>On Time</v>
      </c>
      <c r="K205" t="str">
        <f t="shared" ca="1" si="15"/>
        <v>On Time</v>
      </c>
    </row>
    <row r="206" spans="1:11" x14ac:dyDescent="0.25">
      <c r="A206" t="s">
        <v>1470</v>
      </c>
      <c r="B206" t="s">
        <v>290</v>
      </c>
      <c r="C206" t="s">
        <v>203</v>
      </c>
      <c r="D206" t="s">
        <v>227</v>
      </c>
      <c r="E206" t="s">
        <v>257</v>
      </c>
      <c r="F206">
        <f ca="1">VLOOKUP(B206, Orders!A:E, 3, FALSE) + RANDBETWEEN(0,2)</f>
        <v>46018</v>
      </c>
      <c r="G206">
        <f ca="1">F206+VLOOKUP(E206,Routes!A:D,4,FALSE)</f>
        <v>46021</v>
      </c>
      <c r="H206">
        <f t="shared" ca="1" si="12"/>
        <v>46025</v>
      </c>
      <c r="I206">
        <f t="shared" ca="1" si="13"/>
        <v>4</v>
      </c>
      <c r="J206" t="str">
        <f t="shared" ca="1" si="14"/>
        <v>Late</v>
      </c>
      <c r="K206" t="str">
        <f t="shared" ca="1" si="15"/>
        <v>Major Delay</v>
      </c>
    </row>
    <row r="207" spans="1:11" x14ac:dyDescent="0.25">
      <c r="A207" t="s">
        <v>1471</v>
      </c>
      <c r="B207" t="s">
        <v>475</v>
      </c>
      <c r="C207" t="s">
        <v>200</v>
      </c>
      <c r="D207" t="s">
        <v>213</v>
      </c>
      <c r="E207" t="s">
        <v>257</v>
      </c>
      <c r="F207">
        <f ca="1">VLOOKUP(B207, Orders!A:E, 3, FALSE) + RANDBETWEEN(0,2)</f>
        <v>45918</v>
      </c>
      <c r="G207">
        <f ca="1">F207+VLOOKUP(E207,Routes!A:D,4,FALSE)</f>
        <v>45921</v>
      </c>
      <c r="H207">
        <f t="shared" ca="1" si="12"/>
        <v>45921</v>
      </c>
      <c r="I207">
        <f t="shared" ca="1" si="13"/>
        <v>0</v>
      </c>
      <c r="J207" t="str">
        <f t="shared" ca="1" si="14"/>
        <v>On Time</v>
      </c>
      <c r="K207" t="str">
        <f t="shared" ca="1" si="15"/>
        <v>On Time</v>
      </c>
    </row>
    <row r="208" spans="1:11" x14ac:dyDescent="0.25">
      <c r="A208" t="s">
        <v>1472</v>
      </c>
      <c r="B208" t="s">
        <v>324</v>
      </c>
      <c r="C208" t="s">
        <v>192</v>
      </c>
      <c r="D208" t="s">
        <v>230</v>
      </c>
      <c r="E208" t="s">
        <v>253</v>
      </c>
      <c r="F208">
        <f ca="1">VLOOKUP(B208, Orders!A:E, 3, FALSE) + RANDBETWEEN(0,2)</f>
        <v>46041</v>
      </c>
      <c r="G208">
        <f ca="1">F208+VLOOKUP(E208,Routes!A:D,4,FALSE)</f>
        <v>46045</v>
      </c>
      <c r="H208">
        <f t="shared" ca="1" si="12"/>
        <v>46045</v>
      </c>
      <c r="I208">
        <f t="shared" ca="1" si="13"/>
        <v>0</v>
      </c>
      <c r="J208" t="str">
        <f t="shared" ca="1" si="14"/>
        <v>On Time</v>
      </c>
      <c r="K208" t="str">
        <f t="shared" ca="1" si="15"/>
        <v>On Time</v>
      </c>
    </row>
    <row r="209" spans="1:11" x14ac:dyDescent="0.25">
      <c r="A209" t="s">
        <v>1473</v>
      </c>
      <c r="B209" t="s">
        <v>399</v>
      </c>
      <c r="C209" t="s">
        <v>200</v>
      </c>
      <c r="D209" t="s">
        <v>230</v>
      </c>
      <c r="E209" t="s">
        <v>237</v>
      </c>
      <c r="F209">
        <f ca="1">VLOOKUP(B209, Orders!A:E, 3, FALSE) + RANDBETWEEN(0,2)</f>
        <v>45912</v>
      </c>
      <c r="G209">
        <f ca="1">F209+VLOOKUP(E209,Routes!A:D,4,FALSE)</f>
        <v>45914</v>
      </c>
      <c r="H209">
        <f t="shared" ca="1" si="12"/>
        <v>45918</v>
      </c>
      <c r="I209">
        <f t="shared" ca="1" si="13"/>
        <v>4</v>
      </c>
      <c r="J209" t="str">
        <f t="shared" ca="1" si="14"/>
        <v>Late</v>
      </c>
      <c r="K209" t="str">
        <f t="shared" ca="1" si="15"/>
        <v>Major Delay</v>
      </c>
    </row>
    <row r="210" spans="1:11" x14ac:dyDescent="0.25">
      <c r="A210" t="s">
        <v>1474</v>
      </c>
      <c r="B210" t="s">
        <v>388</v>
      </c>
      <c r="C210" t="s">
        <v>206</v>
      </c>
      <c r="D210" t="s">
        <v>220</v>
      </c>
      <c r="E210" t="s">
        <v>257</v>
      </c>
      <c r="F210">
        <f ca="1">VLOOKUP(B210, Orders!A:E, 3, FALSE) + RANDBETWEEN(0,2)</f>
        <v>45969</v>
      </c>
      <c r="G210">
        <f ca="1">F210+VLOOKUP(E210,Routes!A:D,4,FALSE)</f>
        <v>45972</v>
      </c>
      <c r="H210">
        <f t="shared" ca="1" si="12"/>
        <v>45972</v>
      </c>
      <c r="I210">
        <f t="shared" ca="1" si="13"/>
        <v>0</v>
      </c>
      <c r="J210" t="str">
        <f t="shared" ca="1" si="14"/>
        <v>On Time</v>
      </c>
      <c r="K210" t="str">
        <f t="shared" ca="1" si="15"/>
        <v>On Time</v>
      </c>
    </row>
    <row r="211" spans="1:11" x14ac:dyDescent="0.25">
      <c r="A211" t="s">
        <v>1475</v>
      </c>
      <c r="B211" t="s">
        <v>357</v>
      </c>
      <c r="C211" t="s">
        <v>196</v>
      </c>
      <c r="D211" t="s">
        <v>223</v>
      </c>
      <c r="E211" t="s">
        <v>253</v>
      </c>
      <c r="F211">
        <f ca="1">VLOOKUP(B211, Orders!A:E, 3, FALSE) + RANDBETWEEN(0,2)</f>
        <v>45920</v>
      </c>
      <c r="G211">
        <f ca="1">F211+VLOOKUP(E211,Routes!A:D,4,FALSE)</f>
        <v>45924</v>
      </c>
      <c r="H211">
        <f t="shared" ca="1" si="12"/>
        <v>45924</v>
      </c>
      <c r="I211">
        <f t="shared" ca="1" si="13"/>
        <v>0</v>
      </c>
      <c r="J211" t="str">
        <f t="shared" ca="1" si="14"/>
        <v>On Time</v>
      </c>
      <c r="K211" t="str">
        <f t="shared" ca="1" si="15"/>
        <v>On Time</v>
      </c>
    </row>
    <row r="212" spans="1:11" x14ac:dyDescent="0.25">
      <c r="A212" t="s">
        <v>1476</v>
      </c>
      <c r="B212" t="s">
        <v>483</v>
      </c>
      <c r="C212" t="s">
        <v>206</v>
      </c>
      <c r="D212" t="s">
        <v>230</v>
      </c>
      <c r="E212" t="s">
        <v>251</v>
      </c>
      <c r="F212">
        <f ca="1">VLOOKUP(B212, Orders!A:E, 3, FALSE) + RANDBETWEEN(0,2)</f>
        <v>46000</v>
      </c>
      <c r="G212">
        <f ca="1">F212+VLOOKUP(E212,Routes!A:D,4,FALSE)</f>
        <v>46004</v>
      </c>
      <c r="H212">
        <f t="shared" ca="1" si="12"/>
        <v>46004</v>
      </c>
      <c r="I212">
        <f t="shared" ca="1" si="13"/>
        <v>0</v>
      </c>
      <c r="J212" t="str">
        <f t="shared" ca="1" si="14"/>
        <v>On Time</v>
      </c>
      <c r="K212" t="str">
        <f t="shared" ca="1" si="15"/>
        <v>On Time</v>
      </c>
    </row>
    <row r="213" spans="1:11" x14ac:dyDescent="0.25">
      <c r="A213" t="s">
        <v>1477</v>
      </c>
      <c r="B213" t="s">
        <v>281</v>
      </c>
      <c r="C213" t="s">
        <v>206</v>
      </c>
      <c r="D213" t="s">
        <v>220</v>
      </c>
      <c r="E213" t="s">
        <v>246</v>
      </c>
      <c r="F213">
        <f ca="1">VLOOKUP(B213, Orders!A:E, 3, FALSE) + RANDBETWEEN(0,2)</f>
        <v>45795</v>
      </c>
      <c r="G213">
        <f ca="1">F213+VLOOKUP(E213,Routes!A:D,4,FALSE)</f>
        <v>45798</v>
      </c>
      <c r="H213">
        <f t="shared" ca="1" si="12"/>
        <v>45798</v>
      </c>
      <c r="I213">
        <f t="shared" ca="1" si="13"/>
        <v>0</v>
      </c>
      <c r="J213" t="str">
        <f t="shared" ca="1" si="14"/>
        <v>On Time</v>
      </c>
      <c r="K213" t="str">
        <f t="shared" ca="1" si="15"/>
        <v>On Time</v>
      </c>
    </row>
    <row r="214" spans="1:11" x14ac:dyDescent="0.25">
      <c r="A214" t="s">
        <v>1478</v>
      </c>
      <c r="B214" t="s">
        <v>303</v>
      </c>
      <c r="C214" t="s">
        <v>206</v>
      </c>
      <c r="D214" t="s">
        <v>227</v>
      </c>
      <c r="E214" t="s">
        <v>251</v>
      </c>
      <c r="F214">
        <f ca="1">VLOOKUP(B214, Orders!A:E, 3, FALSE) + RANDBETWEEN(0,2)</f>
        <v>46051</v>
      </c>
      <c r="G214">
        <f ca="1">F214+VLOOKUP(E214,Routes!A:D,4,FALSE)</f>
        <v>46055</v>
      </c>
      <c r="H214">
        <f t="shared" ca="1" si="12"/>
        <v>46055</v>
      </c>
      <c r="I214">
        <f t="shared" ca="1" si="13"/>
        <v>0</v>
      </c>
      <c r="J214" t="str">
        <f t="shared" ca="1" si="14"/>
        <v>On Time</v>
      </c>
      <c r="K214" t="str">
        <f t="shared" ca="1" si="15"/>
        <v>On Time</v>
      </c>
    </row>
    <row r="215" spans="1:11" x14ac:dyDescent="0.25">
      <c r="A215" t="s">
        <v>1479</v>
      </c>
      <c r="B215" t="s">
        <v>433</v>
      </c>
      <c r="C215" t="s">
        <v>192</v>
      </c>
      <c r="D215" t="s">
        <v>227</v>
      </c>
      <c r="E215" t="s">
        <v>253</v>
      </c>
      <c r="F215">
        <f ca="1">VLOOKUP(B215, Orders!A:E, 3, FALSE) + RANDBETWEEN(0,2)</f>
        <v>45906</v>
      </c>
      <c r="G215">
        <f ca="1">F215+VLOOKUP(E215,Routes!A:D,4,FALSE)</f>
        <v>45910</v>
      </c>
      <c r="H215">
        <f t="shared" ca="1" si="12"/>
        <v>45910</v>
      </c>
      <c r="I215">
        <f t="shared" ca="1" si="13"/>
        <v>0</v>
      </c>
      <c r="J215" t="str">
        <f t="shared" ca="1" si="14"/>
        <v>On Time</v>
      </c>
      <c r="K215" t="str">
        <f t="shared" ca="1" si="15"/>
        <v>On Time</v>
      </c>
    </row>
    <row r="216" spans="1:11" x14ac:dyDescent="0.25">
      <c r="A216" t="s">
        <v>1480</v>
      </c>
      <c r="B216" t="s">
        <v>383</v>
      </c>
      <c r="C216" t="s">
        <v>206</v>
      </c>
      <c r="D216" t="s">
        <v>230</v>
      </c>
      <c r="E216" t="s">
        <v>247</v>
      </c>
      <c r="F216">
        <f ca="1">VLOOKUP(B216, Orders!A:E, 3, FALSE) + RANDBETWEEN(0,2)</f>
        <v>45969</v>
      </c>
      <c r="G216">
        <f ca="1">F216+VLOOKUP(E216,Routes!A:D,4,FALSE)</f>
        <v>45973</v>
      </c>
      <c r="H216">
        <f t="shared" ca="1" si="12"/>
        <v>45973</v>
      </c>
      <c r="I216">
        <f t="shared" ca="1" si="13"/>
        <v>0</v>
      </c>
      <c r="J216" t="str">
        <f t="shared" ca="1" si="14"/>
        <v>On Time</v>
      </c>
      <c r="K216" t="str">
        <f t="shared" ca="1" si="15"/>
        <v>On Time</v>
      </c>
    </row>
    <row r="217" spans="1:11" x14ac:dyDescent="0.25">
      <c r="A217" t="s">
        <v>1481</v>
      </c>
      <c r="B217" t="s">
        <v>477</v>
      </c>
      <c r="C217" t="s">
        <v>206</v>
      </c>
      <c r="D217" t="s">
        <v>223</v>
      </c>
      <c r="E217" t="s">
        <v>237</v>
      </c>
      <c r="F217">
        <f ca="1">VLOOKUP(B217, Orders!A:E, 3, FALSE) + RANDBETWEEN(0,2)</f>
        <v>46053</v>
      </c>
      <c r="G217">
        <f ca="1">F217+VLOOKUP(E217,Routes!A:D,4,FALSE)</f>
        <v>46055</v>
      </c>
      <c r="H217">
        <f t="shared" ca="1" si="12"/>
        <v>46055</v>
      </c>
      <c r="I217">
        <f t="shared" ca="1" si="13"/>
        <v>0</v>
      </c>
      <c r="J217" t="str">
        <f t="shared" ca="1" si="14"/>
        <v>On Time</v>
      </c>
      <c r="K217" t="str">
        <f t="shared" ca="1" si="15"/>
        <v>On Time</v>
      </c>
    </row>
    <row r="218" spans="1:11" x14ac:dyDescent="0.25">
      <c r="A218" t="s">
        <v>1482</v>
      </c>
      <c r="B218" t="s">
        <v>329</v>
      </c>
      <c r="C218" t="s">
        <v>206</v>
      </c>
      <c r="D218" t="s">
        <v>230</v>
      </c>
      <c r="E218" t="s">
        <v>237</v>
      </c>
      <c r="F218">
        <f ca="1">VLOOKUP(B218, Orders!A:E, 3, FALSE) + RANDBETWEEN(0,2)</f>
        <v>46015</v>
      </c>
      <c r="G218">
        <f ca="1">F218+VLOOKUP(E218,Routes!A:D,4,FALSE)</f>
        <v>46017</v>
      </c>
      <c r="H218">
        <f t="shared" ca="1" si="12"/>
        <v>46017</v>
      </c>
      <c r="I218">
        <f t="shared" ca="1" si="13"/>
        <v>0</v>
      </c>
      <c r="J218" t="str">
        <f t="shared" ca="1" si="14"/>
        <v>On Time</v>
      </c>
      <c r="K218" t="str">
        <f t="shared" ca="1" si="15"/>
        <v>On Time</v>
      </c>
    </row>
    <row r="219" spans="1:11" x14ac:dyDescent="0.25">
      <c r="A219" t="s">
        <v>1483</v>
      </c>
      <c r="B219" t="s">
        <v>458</v>
      </c>
      <c r="C219" t="s">
        <v>206</v>
      </c>
      <c r="D219" t="s">
        <v>227</v>
      </c>
      <c r="E219" t="s">
        <v>237</v>
      </c>
      <c r="F219">
        <f ca="1">VLOOKUP(B219, Orders!A:E, 3, FALSE) + RANDBETWEEN(0,2)</f>
        <v>45786</v>
      </c>
      <c r="G219">
        <f ca="1">F219+VLOOKUP(E219,Routes!A:D,4,FALSE)</f>
        <v>45788</v>
      </c>
      <c r="H219">
        <f t="shared" ca="1" si="12"/>
        <v>45788</v>
      </c>
      <c r="I219">
        <f t="shared" ca="1" si="13"/>
        <v>0</v>
      </c>
      <c r="J219" t="str">
        <f t="shared" ca="1" si="14"/>
        <v>On Time</v>
      </c>
      <c r="K219" t="str">
        <f t="shared" ca="1" si="15"/>
        <v>On Time</v>
      </c>
    </row>
    <row r="220" spans="1:11" x14ac:dyDescent="0.25">
      <c r="A220" t="s">
        <v>1484</v>
      </c>
      <c r="B220" t="s">
        <v>435</v>
      </c>
      <c r="C220" t="s">
        <v>206</v>
      </c>
      <c r="D220" t="s">
        <v>220</v>
      </c>
      <c r="E220" t="s">
        <v>255</v>
      </c>
      <c r="F220">
        <f ca="1">VLOOKUP(B220, Orders!A:E, 3, FALSE) + RANDBETWEEN(0,2)</f>
        <v>46038</v>
      </c>
      <c r="G220">
        <f ca="1">F220+VLOOKUP(E220,Routes!A:D,4,FALSE)</f>
        <v>46041</v>
      </c>
      <c r="H220">
        <f t="shared" ca="1" si="12"/>
        <v>46041</v>
      </c>
      <c r="I220">
        <f t="shared" ca="1" si="13"/>
        <v>0</v>
      </c>
      <c r="J220" t="str">
        <f t="shared" ca="1" si="14"/>
        <v>On Time</v>
      </c>
      <c r="K220" t="str">
        <f t="shared" ca="1" si="15"/>
        <v>On Time</v>
      </c>
    </row>
    <row r="221" spans="1:11" x14ac:dyDescent="0.25">
      <c r="A221" t="s">
        <v>1485</v>
      </c>
      <c r="B221" t="s">
        <v>411</v>
      </c>
      <c r="C221" t="s">
        <v>196</v>
      </c>
      <c r="D221" t="s">
        <v>213</v>
      </c>
      <c r="E221" t="s">
        <v>246</v>
      </c>
      <c r="F221">
        <f ca="1">VLOOKUP(B221, Orders!A:E, 3, FALSE) + RANDBETWEEN(0,2)</f>
        <v>45830</v>
      </c>
      <c r="G221">
        <f ca="1">F221+VLOOKUP(E221,Routes!A:D,4,FALSE)</f>
        <v>45833</v>
      </c>
      <c r="H221">
        <f t="shared" ca="1" si="12"/>
        <v>45833</v>
      </c>
      <c r="I221">
        <f t="shared" ca="1" si="13"/>
        <v>0</v>
      </c>
      <c r="J221" t="str">
        <f t="shared" ca="1" si="14"/>
        <v>On Time</v>
      </c>
      <c r="K221" t="str">
        <f t="shared" ca="1" si="15"/>
        <v>On Time</v>
      </c>
    </row>
    <row r="222" spans="1:11" x14ac:dyDescent="0.25">
      <c r="A222" t="s">
        <v>1486</v>
      </c>
      <c r="B222" t="s">
        <v>417</v>
      </c>
      <c r="C222" t="s">
        <v>203</v>
      </c>
      <c r="D222" t="s">
        <v>223</v>
      </c>
      <c r="E222" t="s">
        <v>249</v>
      </c>
      <c r="F222">
        <f ca="1">VLOOKUP(B222, Orders!A:E, 3, FALSE) + RANDBETWEEN(0,2)</f>
        <v>45940</v>
      </c>
      <c r="G222">
        <f ca="1">F222+VLOOKUP(E222,Routes!A:D,4,FALSE)</f>
        <v>45942</v>
      </c>
      <c r="H222">
        <f t="shared" ca="1" si="12"/>
        <v>45942</v>
      </c>
      <c r="I222">
        <f t="shared" ca="1" si="13"/>
        <v>0</v>
      </c>
      <c r="J222" t="str">
        <f t="shared" ca="1" si="14"/>
        <v>On Time</v>
      </c>
      <c r="K222" t="str">
        <f t="shared" ca="1" si="15"/>
        <v>On Time</v>
      </c>
    </row>
    <row r="223" spans="1:11" x14ac:dyDescent="0.25">
      <c r="A223" t="s">
        <v>1487</v>
      </c>
      <c r="B223" t="s">
        <v>359</v>
      </c>
      <c r="C223" t="s">
        <v>192</v>
      </c>
      <c r="D223" t="s">
        <v>220</v>
      </c>
      <c r="E223" t="s">
        <v>251</v>
      </c>
      <c r="F223">
        <f ca="1">VLOOKUP(B223, Orders!A:E, 3, FALSE) + RANDBETWEEN(0,2)</f>
        <v>45925</v>
      </c>
      <c r="G223">
        <f ca="1">F223+VLOOKUP(E223,Routes!A:D,4,FALSE)</f>
        <v>45929</v>
      </c>
      <c r="H223">
        <f t="shared" ca="1" si="12"/>
        <v>45929</v>
      </c>
      <c r="I223">
        <f t="shared" ca="1" si="13"/>
        <v>0</v>
      </c>
      <c r="J223" t="str">
        <f t="shared" ca="1" si="14"/>
        <v>On Time</v>
      </c>
      <c r="K223" t="str">
        <f t="shared" ca="1" si="15"/>
        <v>On Time</v>
      </c>
    </row>
    <row r="224" spans="1:11" x14ac:dyDescent="0.25">
      <c r="A224" t="s">
        <v>1488</v>
      </c>
      <c r="B224" t="s">
        <v>405</v>
      </c>
      <c r="C224" t="s">
        <v>200</v>
      </c>
      <c r="D224" t="s">
        <v>220</v>
      </c>
      <c r="E224" t="s">
        <v>253</v>
      </c>
      <c r="F224">
        <f ca="1">VLOOKUP(B224, Orders!A:E, 3, FALSE) + RANDBETWEEN(0,2)</f>
        <v>45959</v>
      </c>
      <c r="G224">
        <f ca="1">F224+VLOOKUP(E224,Routes!A:D,4,FALSE)</f>
        <v>45963</v>
      </c>
      <c r="H224">
        <f t="shared" ca="1" si="12"/>
        <v>45968</v>
      </c>
      <c r="I224">
        <f t="shared" ca="1" si="13"/>
        <v>5</v>
      </c>
      <c r="J224" t="str">
        <f t="shared" ca="1" si="14"/>
        <v>Late</v>
      </c>
      <c r="K224" t="str">
        <f t="shared" ca="1" si="15"/>
        <v>Major Delay</v>
      </c>
    </row>
    <row r="225" spans="1:11" x14ac:dyDescent="0.25">
      <c r="A225" t="s">
        <v>1489</v>
      </c>
      <c r="B225" t="s">
        <v>336</v>
      </c>
      <c r="C225" t="s">
        <v>192</v>
      </c>
      <c r="D225" t="s">
        <v>220</v>
      </c>
      <c r="E225" t="s">
        <v>257</v>
      </c>
      <c r="F225">
        <f ca="1">VLOOKUP(B225, Orders!A:E, 3, FALSE) + RANDBETWEEN(0,2)</f>
        <v>46001</v>
      </c>
      <c r="G225">
        <f ca="1">F225+VLOOKUP(E225,Routes!A:D,4,FALSE)</f>
        <v>46004</v>
      </c>
      <c r="H225">
        <f t="shared" ca="1" si="12"/>
        <v>46004</v>
      </c>
      <c r="I225">
        <f t="shared" ca="1" si="13"/>
        <v>0</v>
      </c>
      <c r="J225" t="str">
        <f t="shared" ca="1" si="14"/>
        <v>On Time</v>
      </c>
      <c r="K225" t="str">
        <f t="shared" ca="1" si="15"/>
        <v>On Time</v>
      </c>
    </row>
    <row r="226" spans="1:11" x14ac:dyDescent="0.25">
      <c r="A226" t="s">
        <v>1490</v>
      </c>
      <c r="B226" t="s">
        <v>341</v>
      </c>
      <c r="C226" t="s">
        <v>200</v>
      </c>
      <c r="D226" t="s">
        <v>217</v>
      </c>
      <c r="E226" t="s">
        <v>255</v>
      </c>
      <c r="F226">
        <f ca="1">VLOOKUP(B226, Orders!A:E, 3, FALSE) + RANDBETWEEN(0,2)</f>
        <v>45821</v>
      </c>
      <c r="G226">
        <f ca="1">F226+VLOOKUP(E226,Routes!A:D,4,FALSE)</f>
        <v>45824</v>
      </c>
      <c r="H226">
        <f t="shared" ca="1" si="12"/>
        <v>45828</v>
      </c>
      <c r="I226">
        <f t="shared" ca="1" si="13"/>
        <v>4</v>
      </c>
      <c r="J226" t="str">
        <f t="shared" ca="1" si="14"/>
        <v>Late</v>
      </c>
      <c r="K226" t="str">
        <f t="shared" ca="1" si="15"/>
        <v>Major Delay</v>
      </c>
    </row>
    <row r="227" spans="1:11" x14ac:dyDescent="0.25">
      <c r="A227" t="s">
        <v>1491</v>
      </c>
      <c r="B227" t="s">
        <v>417</v>
      </c>
      <c r="C227" t="s">
        <v>203</v>
      </c>
      <c r="D227" t="s">
        <v>220</v>
      </c>
      <c r="E227" t="s">
        <v>237</v>
      </c>
      <c r="F227">
        <f ca="1">VLOOKUP(B227, Orders!A:E, 3, FALSE) + RANDBETWEEN(0,2)</f>
        <v>45939</v>
      </c>
      <c r="G227">
        <f ca="1">F227+VLOOKUP(E227,Routes!A:D,4,FALSE)</f>
        <v>45941</v>
      </c>
      <c r="H227">
        <f t="shared" ca="1" si="12"/>
        <v>45941</v>
      </c>
      <c r="I227">
        <f t="shared" ca="1" si="13"/>
        <v>0</v>
      </c>
      <c r="J227" t="str">
        <f t="shared" ca="1" si="14"/>
        <v>On Time</v>
      </c>
      <c r="K227" t="str">
        <f t="shared" ca="1" si="15"/>
        <v>On Time</v>
      </c>
    </row>
    <row r="228" spans="1:11" x14ac:dyDescent="0.25">
      <c r="A228" t="s">
        <v>1492</v>
      </c>
      <c r="B228" t="s">
        <v>331</v>
      </c>
      <c r="C228" t="s">
        <v>196</v>
      </c>
      <c r="D228" t="s">
        <v>223</v>
      </c>
      <c r="E228" t="s">
        <v>251</v>
      </c>
      <c r="F228">
        <f ca="1">VLOOKUP(B228, Orders!A:E, 3, FALSE) + RANDBETWEEN(0,2)</f>
        <v>45987</v>
      </c>
      <c r="G228">
        <f ca="1">F228+VLOOKUP(E228,Routes!A:D,4,FALSE)</f>
        <v>45991</v>
      </c>
      <c r="H228">
        <f t="shared" ca="1" si="12"/>
        <v>45991</v>
      </c>
      <c r="I228">
        <f t="shared" ca="1" si="13"/>
        <v>0</v>
      </c>
      <c r="J228" t="str">
        <f t="shared" ca="1" si="14"/>
        <v>On Time</v>
      </c>
      <c r="K228" t="str">
        <f t="shared" ca="1" si="15"/>
        <v>On Time</v>
      </c>
    </row>
    <row r="229" spans="1:11" x14ac:dyDescent="0.25">
      <c r="A229" t="s">
        <v>1493</v>
      </c>
      <c r="B229" t="s">
        <v>446</v>
      </c>
      <c r="C229" t="s">
        <v>206</v>
      </c>
      <c r="D229" t="s">
        <v>227</v>
      </c>
      <c r="E229" t="s">
        <v>251</v>
      </c>
      <c r="F229">
        <f ca="1">VLOOKUP(B229, Orders!A:E, 3, FALSE) + RANDBETWEEN(0,2)</f>
        <v>45935</v>
      </c>
      <c r="G229">
        <f ca="1">F229+VLOOKUP(E229,Routes!A:D,4,FALSE)</f>
        <v>45939</v>
      </c>
      <c r="H229">
        <f t="shared" ca="1" si="12"/>
        <v>45939</v>
      </c>
      <c r="I229">
        <f t="shared" ca="1" si="13"/>
        <v>0</v>
      </c>
      <c r="J229" t="str">
        <f t="shared" ca="1" si="14"/>
        <v>On Time</v>
      </c>
      <c r="K229" t="str">
        <f t="shared" ca="1" si="15"/>
        <v>On Time</v>
      </c>
    </row>
    <row r="230" spans="1:11" x14ac:dyDescent="0.25">
      <c r="A230" t="s">
        <v>1494</v>
      </c>
      <c r="B230" t="s">
        <v>329</v>
      </c>
      <c r="C230" t="s">
        <v>200</v>
      </c>
      <c r="D230" t="s">
        <v>217</v>
      </c>
      <c r="E230" t="s">
        <v>255</v>
      </c>
      <c r="F230">
        <f ca="1">VLOOKUP(B230, Orders!A:E, 3, FALSE) + RANDBETWEEN(0,2)</f>
        <v>46014</v>
      </c>
      <c r="G230">
        <f ca="1">F230+VLOOKUP(E230,Routes!A:D,4,FALSE)</f>
        <v>46017</v>
      </c>
      <c r="H230">
        <f t="shared" ca="1" si="12"/>
        <v>46021</v>
      </c>
      <c r="I230">
        <f t="shared" ca="1" si="13"/>
        <v>4</v>
      </c>
      <c r="J230" t="str">
        <f t="shared" ca="1" si="14"/>
        <v>Late</v>
      </c>
      <c r="K230" t="str">
        <f t="shared" ca="1" si="15"/>
        <v>Major Delay</v>
      </c>
    </row>
    <row r="231" spans="1:11" x14ac:dyDescent="0.25">
      <c r="A231" t="s">
        <v>1495</v>
      </c>
      <c r="B231" t="s">
        <v>366</v>
      </c>
      <c r="C231" t="s">
        <v>206</v>
      </c>
      <c r="D231" t="s">
        <v>227</v>
      </c>
      <c r="E231" t="s">
        <v>255</v>
      </c>
      <c r="F231">
        <f ca="1">VLOOKUP(B231, Orders!A:E, 3, FALSE) + RANDBETWEEN(0,2)</f>
        <v>45872</v>
      </c>
      <c r="G231">
        <f ca="1">F231+VLOOKUP(E231,Routes!A:D,4,FALSE)</f>
        <v>45875</v>
      </c>
      <c r="H231">
        <f t="shared" ca="1" si="12"/>
        <v>45880</v>
      </c>
      <c r="I231">
        <f t="shared" ca="1" si="13"/>
        <v>5</v>
      </c>
      <c r="J231" t="str">
        <f t="shared" ca="1" si="14"/>
        <v>Late</v>
      </c>
      <c r="K231" t="str">
        <f t="shared" ca="1" si="15"/>
        <v>Major Delay</v>
      </c>
    </row>
    <row r="232" spans="1:11" x14ac:dyDescent="0.25">
      <c r="A232" t="s">
        <v>1496</v>
      </c>
      <c r="B232" t="s">
        <v>437</v>
      </c>
      <c r="C232" t="s">
        <v>192</v>
      </c>
      <c r="D232" t="s">
        <v>220</v>
      </c>
      <c r="E232" t="s">
        <v>253</v>
      </c>
      <c r="F232">
        <f ca="1">VLOOKUP(B232, Orders!A:E, 3, FALSE) + RANDBETWEEN(0,2)</f>
        <v>45875</v>
      </c>
      <c r="G232">
        <f ca="1">F232+VLOOKUP(E232,Routes!A:D,4,FALSE)</f>
        <v>45879</v>
      </c>
      <c r="H232">
        <f t="shared" ca="1" si="12"/>
        <v>45883</v>
      </c>
      <c r="I232">
        <f t="shared" ca="1" si="13"/>
        <v>4</v>
      </c>
      <c r="J232" t="str">
        <f t="shared" ca="1" si="14"/>
        <v>Late</v>
      </c>
      <c r="K232" t="str">
        <f t="shared" ca="1" si="15"/>
        <v>Major Delay</v>
      </c>
    </row>
    <row r="233" spans="1:11" x14ac:dyDescent="0.25">
      <c r="A233" t="s">
        <v>1497</v>
      </c>
      <c r="B233" t="s">
        <v>446</v>
      </c>
      <c r="C233" t="s">
        <v>203</v>
      </c>
      <c r="D233" t="s">
        <v>213</v>
      </c>
      <c r="E233" t="s">
        <v>240</v>
      </c>
      <c r="F233">
        <f ca="1">VLOOKUP(B233, Orders!A:E, 3, FALSE) + RANDBETWEEN(0,2)</f>
        <v>45933</v>
      </c>
      <c r="G233">
        <f ca="1">F233+VLOOKUP(E233,Routes!A:D,4,FALSE)</f>
        <v>45937</v>
      </c>
      <c r="H233">
        <f t="shared" ca="1" si="12"/>
        <v>45941</v>
      </c>
      <c r="I233">
        <f t="shared" ca="1" si="13"/>
        <v>4</v>
      </c>
      <c r="J233" t="str">
        <f t="shared" ca="1" si="14"/>
        <v>Late</v>
      </c>
      <c r="K233" t="str">
        <f t="shared" ca="1" si="15"/>
        <v>Major Delay</v>
      </c>
    </row>
    <row r="234" spans="1:11" x14ac:dyDescent="0.25">
      <c r="A234" t="s">
        <v>1498</v>
      </c>
      <c r="B234" t="s">
        <v>289</v>
      </c>
      <c r="C234" t="s">
        <v>206</v>
      </c>
      <c r="D234" t="s">
        <v>223</v>
      </c>
      <c r="E234" t="s">
        <v>246</v>
      </c>
      <c r="F234">
        <f ca="1">VLOOKUP(B234, Orders!A:E, 3, FALSE) + RANDBETWEEN(0,2)</f>
        <v>45793</v>
      </c>
      <c r="G234">
        <f ca="1">F234+VLOOKUP(E234,Routes!A:D,4,FALSE)</f>
        <v>45796</v>
      </c>
      <c r="H234">
        <f t="shared" ca="1" si="12"/>
        <v>45796</v>
      </c>
      <c r="I234">
        <f t="shared" ca="1" si="13"/>
        <v>0</v>
      </c>
      <c r="J234" t="str">
        <f t="shared" ca="1" si="14"/>
        <v>On Time</v>
      </c>
      <c r="K234" t="str">
        <f t="shared" ca="1" si="15"/>
        <v>On Time</v>
      </c>
    </row>
    <row r="235" spans="1:11" x14ac:dyDescent="0.25">
      <c r="A235" t="s">
        <v>1499</v>
      </c>
      <c r="B235" t="s">
        <v>514</v>
      </c>
      <c r="C235" t="s">
        <v>192</v>
      </c>
      <c r="D235" t="s">
        <v>227</v>
      </c>
      <c r="E235" t="s">
        <v>247</v>
      </c>
      <c r="F235">
        <f ca="1">VLOOKUP(B235, Orders!A:E, 3, FALSE) + RANDBETWEEN(0,2)</f>
        <v>45950</v>
      </c>
      <c r="G235">
        <f ca="1">F235+VLOOKUP(E235,Routes!A:D,4,FALSE)</f>
        <v>45954</v>
      </c>
      <c r="H235">
        <f t="shared" ca="1" si="12"/>
        <v>45954</v>
      </c>
      <c r="I235">
        <f t="shared" ca="1" si="13"/>
        <v>0</v>
      </c>
      <c r="J235" t="str">
        <f t="shared" ca="1" si="14"/>
        <v>On Time</v>
      </c>
      <c r="K235" t="str">
        <f t="shared" ca="1" si="15"/>
        <v>On Time</v>
      </c>
    </row>
    <row r="236" spans="1:11" x14ac:dyDescent="0.25">
      <c r="A236" t="s">
        <v>1500</v>
      </c>
      <c r="B236" t="s">
        <v>319</v>
      </c>
      <c r="C236" t="s">
        <v>203</v>
      </c>
      <c r="D236" t="s">
        <v>220</v>
      </c>
      <c r="E236" t="s">
        <v>244</v>
      </c>
      <c r="F236">
        <f ca="1">VLOOKUP(B236, Orders!A:E, 3, FALSE) + RANDBETWEEN(0,2)</f>
        <v>45932</v>
      </c>
      <c r="G236">
        <f ca="1">F236+VLOOKUP(E236,Routes!A:D,4,FALSE)</f>
        <v>45935</v>
      </c>
      <c r="H236">
        <f t="shared" ca="1" si="12"/>
        <v>45935</v>
      </c>
      <c r="I236">
        <f t="shared" ca="1" si="13"/>
        <v>0</v>
      </c>
      <c r="J236" t="str">
        <f t="shared" ca="1" si="14"/>
        <v>On Time</v>
      </c>
      <c r="K236" t="str">
        <f t="shared" ca="1" si="15"/>
        <v>On Time</v>
      </c>
    </row>
    <row r="237" spans="1:11" x14ac:dyDescent="0.25">
      <c r="A237" t="s">
        <v>1501</v>
      </c>
      <c r="B237" t="s">
        <v>467</v>
      </c>
      <c r="C237" t="s">
        <v>203</v>
      </c>
      <c r="D237" t="s">
        <v>213</v>
      </c>
      <c r="E237" t="s">
        <v>253</v>
      </c>
      <c r="F237">
        <f ca="1">VLOOKUP(B237, Orders!A:E, 3, FALSE) + RANDBETWEEN(0,2)</f>
        <v>45815</v>
      </c>
      <c r="G237">
        <f ca="1">F237+VLOOKUP(E237,Routes!A:D,4,FALSE)</f>
        <v>45819</v>
      </c>
      <c r="H237">
        <f t="shared" ca="1" si="12"/>
        <v>45819</v>
      </c>
      <c r="I237">
        <f t="shared" ca="1" si="13"/>
        <v>0</v>
      </c>
      <c r="J237" t="str">
        <f t="shared" ca="1" si="14"/>
        <v>On Time</v>
      </c>
      <c r="K237" t="str">
        <f t="shared" ca="1" si="15"/>
        <v>On Time</v>
      </c>
    </row>
    <row r="238" spans="1:11" x14ac:dyDescent="0.25">
      <c r="A238" t="s">
        <v>1502</v>
      </c>
      <c r="B238" t="s">
        <v>463</v>
      </c>
      <c r="C238" t="s">
        <v>203</v>
      </c>
      <c r="D238" t="s">
        <v>220</v>
      </c>
      <c r="E238" t="s">
        <v>249</v>
      </c>
      <c r="F238">
        <f ca="1">VLOOKUP(B238, Orders!A:E, 3, FALSE) + RANDBETWEEN(0,2)</f>
        <v>45805</v>
      </c>
      <c r="G238">
        <f ca="1">F238+VLOOKUP(E238,Routes!A:D,4,FALSE)</f>
        <v>45807</v>
      </c>
      <c r="H238">
        <f t="shared" ca="1" si="12"/>
        <v>45807</v>
      </c>
      <c r="I238">
        <f t="shared" ca="1" si="13"/>
        <v>0</v>
      </c>
      <c r="J238" t="str">
        <f t="shared" ca="1" si="14"/>
        <v>On Time</v>
      </c>
      <c r="K238" t="str">
        <f t="shared" ca="1" si="15"/>
        <v>On Time</v>
      </c>
    </row>
    <row r="239" spans="1:11" x14ac:dyDescent="0.25">
      <c r="A239" t="s">
        <v>1503</v>
      </c>
      <c r="B239" t="s">
        <v>487</v>
      </c>
      <c r="C239" t="s">
        <v>192</v>
      </c>
      <c r="D239" t="s">
        <v>227</v>
      </c>
      <c r="E239" t="s">
        <v>246</v>
      </c>
      <c r="F239">
        <f ca="1">VLOOKUP(B239, Orders!A:E, 3, FALSE) + RANDBETWEEN(0,2)</f>
        <v>45943</v>
      </c>
      <c r="G239">
        <f ca="1">F239+VLOOKUP(E239,Routes!A:D,4,FALSE)</f>
        <v>45946</v>
      </c>
      <c r="H239">
        <f t="shared" ca="1" si="12"/>
        <v>45949</v>
      </c>
      <c r="I239">
        <f t="shared" ca="1" si="13"/>
        <v>3</v>
      </c>
      <c r="J239" t="str">
        <f t="shared" ca="1" si="14"/>
        <v>Late</v>
      </c>
      <c r="K239" t="str">
        <f t="shared" ca="1" si="15"/>
        <v>Major Delay</v>
      </c>
    </row>
    <row r="240" spans="1:11" x14ac:dyDescent="0.25">
      <c r="A240" t="s">
        <v>1504</v>
      </c>
      <c r="B240" t="s">
        <v>423</v>
      </c>
      <c r="C240" t="s">
        <v>196</v>
      </c>
      <c r="D240" t="s">
        <v>223</v>
      </c>
      <c r="E240" t="s">
        <v>246</v>
      </c>
      <c r="F240">
        <f ca="1">VLOOKUP(B240, Orders!A:E, 3, FALSE) + RANDBETWEEN(0,2)</f>
        <v>45869</v>
      </c>
      <c r="G240">
        <f ca="1">F240+VLOOKUP(E240,Routes!A:D,4,FALSE)</f>
        <v>45872</v>
      </c>
      <c r="H240">
        <f t="shared" ca="1" si="12"/>
        <v>45872</v>
      </c>
      <c r="I240">
        <f t="shared" ca="1" si="13"/>
        <v>0</v>
      </c>
      <c r="J240" t="str">
        <f t="shared" ca="1" si="14"/>
        <v>On Time</v>
      </c>
      <c r="K240" t="str">
        <f t="shared" ca="1" si="15"/>
        <v>On Time</v>
      </c>
    </row>
    <row r="241" spans="1:11" x14ac:dyDescent="0.25">
      <c r="A241" t="s">
        <v>1505</v>
      </c>
      <c r="B241" t="s">
        <v>456</v>
      </c>
      <c r="C241" t="s">
        <v>203</v>
      </c>
      <c r="D241" t="s">
        <v>213</v>
      </c>
      <c r="E241" t="s">
        <v>255</v>
      </c>
      <c r="F241">
        <f ca="1">VLOOKUP(B241, Orders!A:E, 3, FALSE) + RANDBETWEEN(0,2)</f>
        <v>45951</v>
      </c>
      <c r="G241">
        <f ca="1">F241+VLOOKUP(E241,Routes!A:D,4,FALSE)</f>
        <v>45954</v>
      </c>
      <c r="H241">
        <f t="shared" ca="1" si="12"/>
        <v>45954</v>
      </c>
      <c r="I241">
        <f t="shared" ca="1" si="13"/>
        <v>0</v>
      </c>
      <c r="J241" t="str">
        <f t="shared" ca="1" si="14"/>
        <v>On Time</v>
      </c>
      <c r="K241" t="str">
        <f t="shared" ca="1" si="15"/>
        <v>On Time</v>
      </c>
    </row>
    <row r="242" spans="1:11" x14ac:dyDescent="0.25">
      <c r="A242" t="s">
        <v>1506</v>
      </c>
      <c r="B242" t="s">
        <v>283</v>
      </c>
      <c r="C242" t="s">
        <v>206</v>
      </c>
      <c r="D242" t="s">
        <v>213</v>
      </c>
      <c r="E242" t="s">
        <v>237</v>
      </c>
      <c r="F242">
        <f ca="1">VLOOKUP(B242, Orders!A:E, 3, FALSE) + RANDBETWEEN(0,2)</f>
        <v>45815</v>
      </c>
      <c r="G242">
        <f ca="1">F242+VLOOKUP(E242,Routes!A:D,4,FALSE)</f>
        <v>45817</v>
      </c>
      <c r="H242">
        <f t="shared" ca="1" si="12"/>
        <v>45818</v>
      </c>
      <c r="I242">
        <f t="shared" ca="1" si="13"/>
        <v>1</v>
      </c>
      <c r="J242" t="str">
        <f t="shared" ca="1" si="14"/>
        <v>Late</v>
      </c>
      <c r="K242" t="str">
        <f t="shared" ca="1" si="15"/>
        <v>Minor Delay</v>
      </c>
    </row>
    <row r="243" spans="1:11" x14ac:dyDescent="0.25">
      <c r="A243" t="s">
        <v>1507</v>
      </c>
      <c r="B243" t="s">
        <v>424</v>
      </c>
      <c r="C243" t="s">
        <v>206</v>
      </c>
      <c r="D243" t="s">
        <v>213</v>
      </c>
      <c r="E243" t="s">
        <v>246</v>
      </c>
      <c r="F243">
        <f ca="1">VLOOKUP(B243, Orders!A:E, 3, FALSE) + RANDBETWEEN(0,2)</f>
        <v>45896</v>
      </c>
      <c r="G243">
        <f ca="1">F243+VLOOKUP(E243,Routes!A:D,4,FALSE)</f>
        <v>45899</v>
      </c>
      <c r="H243">
        <f t="shared" ca="1" si="12"/>
        <v>45899</v>
      </c>
      <c r="I243">
        <f t="shared" ca="1" si="13"/>
        <v>0</v>
      </c>
      <c r="J243" t="str">
        <f t="shared" ca="1" si="14"/>
        <v>On Time</v>
      </c>
      <c r="K243" t="str">
        <f t="shared" ca="1" si="15"/>
        <v>On Time</v>
      </c>
    </row>
    <row r="244" spans="1:11" x14ac:dyDescent="0.25">
      <c r="A244" t="s">
        <v>1508</v>
      </c>
      <c r="B244" t="s">
        <v>301</v>
      </c>
      <c r="C244" t="s">
        <v>196</v>
      </c>
      <c r="D244" t="s">
        <v>213</v>
      </c>
      <c r="E244" t="s">
        <v>242</v>
      </c>
      <c r="F244">
        <f ca="1">VLOOKUP(B244, Orders!A:E, 3, FALSE) + RANDBETWEEN(0,2)</f>
        <v>46041</v>
      </c>
      <c r="G244">
        <f ca="1">F244+VLOOKUP(E244,Routes!A:D,4,FALSE)</f>
        <v>46045</v>
      </c>
      <c r="H244">
        <f t="shared" ca="1" si="12"/>
        <v>46045</v>
      </c>
      <c r="I244">
        <f t="shared" ca="1" si="13"/>
        <v>0</v>
      </c>
      <c r="J244" t="str">
        <f t="shared" ca="1" si="14"/>
        <v>On Time</v>
      </c>
      <c r="K244" t="str">
        <f t="shared" ca="1" si="15"/>
        <v>On Time</v>
      </c>
    </row>
    <row r="245" spans="1:11" x14ac:dyDescent="0.25">
      <c r="A245" t="s">
        <v>1509</v>
      </c>
      <c r="B245" t="s">
        <v>332</v>
      </c>
      <c r="C245" t="s">
        <v>192</v>
      </c>
      <c r="D245" t="s">
        <v>217</v>
      </c>
      <c r="E245" t="s">
        <v>251</v>
      </c>
      <c r="F245">
        <f ca="1">VLOOKUP(B245, Orders!A:E, 3, FALSE) + RANDBETWEEN(0,2)</f>
        <v>46019</v>
      </c>
      <c r="G245">
        <f ca="1">F245+VLOOKUP(E245,Routes!A:D,4,FALSE)</f>
        <v>46023</v>
      </c>
      <c r="H245">
        <f t="shared" ca="1" si="12"/>
        <v>46023</v>
      </c>
      <c r="I245">
        <f t="shared" ca="1" si="13"/>
        <v>0</v>
      </c>
      <c r="J245" t="str">
        <f t="shared" ca="1" si="14"/>
        <v>On Time</v>
      </c>
      <c r="K245" t="str">
        <f t="shared" ca="1" si="15"/>
        <v>On Time</v>
      </c>
    </row>
    <row r="246" spans="1:11" x14ac:dyDescent="0.25">
      <c r="A246" t="s">
        <v>1510</v>
      </c>
      <c r="B246" t="s">
        <v>306</v>
      </c>
      <c r="C246" t="s">
        <v>206</v>
      </c>
      <c r="D246" t="s">
        <v>230</v>
      </c>
      <c r="E246" t="s">
        <v>253</v>
      </c>
      <c r="F246">
        <f ca="1">VLOOKUP(B246, Orders!A:E, 3, FALSE) + RANDBETWEEN(0,2)</f>
        <v>45957</v>
      </c>
      <c r="G246">
        <f ca="1">F246+VLOOKUP(E246,Routes!A:D,4,FALSE)</f>
        <v>45961</v>
      </c>
      <c r="H246">
        <f t="shared" ca="1" si="12"/>
        <v>45961</v>
      </c>
      <c r="I246">
        <f t="shared" ca="1" si="13"/>
        <v>0</v>
      </c>
      <c r="J246" t="str">
        <f t="shared" ca="1" si="14"/>
        <v>On Time</v>
      </c>
      <c r="K246" t="str">
        <f t="shared" ca="1" si="15"/>
        <v>On Time</v>
      </c>
    </row>
    <row r="247" spans="1:11" x14ac:dyDescent="0.25">
      <c r="A247" t="s">
        <v>1511</v>
      </c>
      <c r="B247" t="s">
        <v>309</v>
      </c>
      <c r="C247" t="s">
        <v>203</v>
      </c>
      <c r="D247" t="s">
        <v>217</v>
      </c>
      <c r="E247" t="s">
        <v>259</v>
      </c>
      <c r="F247">
        <f ca="1">VLOOKUP(B247, Orders!A:E, 3, FALSE) + RANDBETWEEN(0,2)</f>
        <v>45938</v>
      </c>
      <c r="G247">
        <f ca="1">F247+VLOOKUP(E247,Routes!A:D,4,FALSE)</f>
        <v>45940</v>
      </c>
      <c r="H247">
        <f t="shared" ca="1" si="12"/>
        <v>45940</v>
      </c>
      <c r="I247">
        <f t="shared" ca="1" si="13"/>
        <v>0</v>
      </c>
      <c r="J247" t="str">
        <f t="shared" ca="1" si="14"/>
        <v>On Time</v>
      </c>
      <c r="K247" t="str">
        <f t="shared" ca="1" si="15"/>
        <v>On Time</v>
      </c>
    </row>
    <row r="248" spans="1:11" x14ac:dyDescent="0.25">
      <c r="A248" t="s">
        <v>1512</v>
      </c>
      <c r="B248" t="s">
        <v>458</v>
      </c>
      <c r="C248" t="s">
        <v>203</v>
      </c>
      <c r="D248" t="s">
        <v>223</v>
      </c>
      <c r="E248" t="s">
        <v>251</v>
      </c>
      <c r="F248">
        <f ca="1">VLOOKUP(B248, Orders!A:E, 3, FALSE) + RANDBETWEEN(0,2)</f>
        <v>45788</v>
      </c>
      <c r="G248">
        <f ca="1">F248+VLOOKUP(E248,Routes!A:D,4,FALSE)</f>
        <v>45792</v>
      </c>
      <c r="H248">
        <f t="shared" ca="1" si="12"/>
        <v>45793</v>
      </c>
      <c r="I248">
        <f t="shared" ca="1" si="13"/>
        <v>1</v>
      </c>
      <c r="J248" t="str">
        <f t="shared" ca="1" si="14"/>
        <v>Late</v>
      </c>
      <c r="K248" t="str">
        <f t="shared" ca="1" si="15"/>
        <v>Minor Delay</v>
      </c>
    </row>
    <row r="249" spans="1:11" x14ac:dyDescent="0.25">
      <c r="A249" t="s">
        <v>1513</v>
      </c>
      <c r="B249" t="s">
        <v>508</v>
      </c>
      <c r="C249" t="s">
        <v>200</v>
      </c>
      <c r="D249" t="s">
        <v>220</v>
      </c>
      <c r="E249" t="s">
        <v>259</v>
      </c>
      <c r="F249">
        <f ca="1">VLOOKUP(B249, Orders!A:E, 3, FALSE) + RANDBETWEEN(0,2)</f>
        <v>45909</v>
      </c>
      <c r="G249">
        <f ca="1">F249+VLOOKUP(E249,Routes!A:D,4,FALSE)</f>
        <v>45911</v>
      </c>
      <c r="H249">
        <f t="shared" ca="1" si="12"/>
        <v>45913</v>
      </c>
      <c r="I249">
        <f t="shared" ca="1" si="13"/>
        <v>2</v>
      </c>
      <c r="J249" t="str">
        <f t="shared" ca="1" si="14"/>
        <v>Late</v>
      </c>
      <c r="K249" t="str">
        <f t="shared" ca="1" si="15"/>
        <v>Minor Delay</v>
      </c>
    </row>
    <row r="250" spans="1:11" x14ac:dyDescent="0.25">
      <c r="A250" t="s">
        <v>1514</v>
      </c>
      <c r="B250" t="s">
        <v>303</v>
      </c>
      <c r="C250" t="s">
        <v>203</v>
      </c>
      <c r="D250" t="s">
        <v>223</v>
      </c>
      <c r="E250" t="s">
        <v>247</v>
      </c>
      <c r="F250">
        <f ca="1">VLOOKUP(B250, Orders!A:E, 3, FALSE) + RANDBETWEEN(0,2)</f>
        <v>46053</v>
      </c>
      <c r="G250">
        <f ca="1">F250+VLOOKUP(E250,Routes!A:D,4,FALSE)</f>
        <v>46057</v>
      </c>
      <c r="H250">
        <f t="shared" ca="1" si="12"/>
        <v>46060</v>
      </c>
      <c r="I250">
        <f t="shared" ca="1" si="13"/>
        <v>3</v>
      </c>
      <c r="J250" t="str">
        <f t="shared" ca="1" si="14"/>
        <v>Late</v>
      </c>
      <c r="K250" t="str">
        <f t="shared" ca="1" si="15"/>
        <v>Major Delay</v>
      </c>
    </row>
    <row r="251" spans="1:11" x14ac:dyDescent="0.25">
      <c r="A251" t="s">
        <v>1515</v>
      </c>
      <c r="B251" t="s">
        <v>366</v>
      </c>
      <c r="C251" t="s">
        <v>196</v>
      </c>
      <c r="D251" t="s">
        <v>227</v>
      </c>
      <c r="E251" t="s">
        <v>242</v>
      </c>
      <c r="F251">
        <f ca="1">VLOOKUP(B251, Orders!A:E, 3, FALSE) + RANDBETWEEN(0,2)</f>
        <v>45871</v>
      </c>
      <c r="G251">
        <f ca="1">F251+VLOOKUP(E251,Routes!A:D,4,FALSE)</f>
        <v>45875</v>
      </c>
      <c r="H251">
        <f t="shared" ca="1" si="12"/>
        <v>45875</v>
      </c>
      <c r="I251">
        <f t="shared" ca="1" si="13"/>
        <v>0</v>
      </c>
      <c r="J251" t="str">
        <f t="shared" ca="1" si="14"/>
        <v>On Time</v>
      </c>
      <c r="K251" t="str">
        <f t="shared" ca="1" si="15"/>
        <v>On Time</v>
      </c>
    </row>
    <row r="252" spans="1:11" x14ac:dyDescent="0.25">
      <c r="A252" t="s">
        <v>1516</v>
      </c>
      <c r="B252" t="s">
        <v>451</v>
      </c>
      <c r="C252" t="s">
        <v>203</v>
      </c>
      <c r="D252" t="s">
        <v>217</v>
      </c>
      <c r="E252" t="s">
        <v>244</v>
      </c>
      <c r="F252">
        <f ca="1">VLOOKUP(B252, Orders!A:E, 3, FALSE) + RANDBETWEEN(0,2)</f>
        <v>45851</v>
      </c>
      <c r="G252">
        <f ca="1">F252+VLOOKUP(E252,Routes!A:D,4,FALSE)</f>
        <v>45854</v>
      </c>
      <c r="H252">
        <f t="shared" ca="1" si="12"/>
        <v>45854</v>
      </c>
      <c r="I252">
        <f t="shared" ca="1" si="13"/>
        <v>0</v>
      </c>
      <c r="J252" t="str">
        <f t="shared" ca="1" si="14"/>
        <v>On Time</v>
      </c>
      <c r="K252" t="str">
        <f t="shared" ca="1" si="15"/>
        <v>On Time</v>
      </c>
    </row>
    <row r="253" spans="1:11" x14ac:dyDescent="0.25">
      <c r="A253" t="s">
        <v>1517</v>
      </c>
      <c r="B253" t="s">
        <v>369</v>
      </c>
      <c r="C253" t="s">
        <v>203</v>
      </c>
      <c r="D253" t="s">
        <v>213</v>
      </c>
      <c r="E253" t="s">
        <v>259</v>
      </c>
      <c r="F253">
        <f ca="1">VLOOKUP(B253, Orders!A:E, 3, FALSE) + RANDBETWEEN(0,2)</f>
        <v>45908</v>
      </c>
      <c r="G253">
        <f ca="1">F253+VLOOKUP(E253,Routes!A:D,4,FALSE)</f>
        <v>45910</v>
      </c>
      <c r="H253">
        <f t="shared" ca="1" si="12"/>
        <v>45911</v>
      </c>
      <c r="I253">
        <f t="shared" ca="1" si="13"/>
        <v>1</v>
      </c>
      <c r="J253" t="str">
        <f t="shared" ca="1" si="14"/>
        <v>Late</v>
      </c>
      <c r="K253" t="str">
        <f t="shared" ca="1" si="15"/>
        <v>Minor Delay</v>
      </c>
    </row>
    <row r="254" spans="1:11" x14ac:dyDescent="0.25">
      <c r="A254" t="s">
        <v>1518</v>
      </c>
      <c r="B254" t="s">
        <v>492</v>
      </c>
      <c r="C254" t="s">
        <v>200</v>
      </c>
      <c r="D254" t="s">
        <v>220</v>
      </c>
      <c r="E254" t="s">
        <v>240</v>
      </c>
      <c r="F254">
        <f ca="1">VLOOKUP(B254, Orders!A:E, 3, FALSE) + RANDBETWEEN(0,2)</f>
        <v>45887</v>
      </c>
      <c r="G254">
        <f ca="1">F254+VLOOKUP(E254,Routes!A:D,4,FALSE)</f>
        <v>45891</v>
      </c>
      <c r="H254">
        <f t="shared" ca="1" si="12"/>
        <v>45891</v>
      </c>
      <c r="I254">
        <f t="shared" ca="1" si="13"/>
        <v>0</v>
      </c>
      <c r="J254" t="str">
        <f t="shared" ca="1" si="14"/>
        <v>On Time</v>
      </c>
      <c r="K254" t="str">
        <f t="shared" ca="1" si="15"/>
        <v>On Time</v>
      </c>
    </row>
    <row r="255" spans="1:11" x14ac:dyDescent="0.25">
      <c r="A255" t="s">
        <v>1519</v>
      </c>
      <c r="B255" t="s">
        <v>471</v>
      </c>
      <c r="C255" t="s">
        <v>196</v>
      </c>
      <c r="D255" t="s">
        <v>220</v>
      </c>
      <c r="E255" t="s">
        <v>240</v>
      </c>
      <c r="F255">
        <f ca="1">VLOOKUP(B255, Orders!A:E, 3, FALSE) + RANDBETWEEN(0,2)</f>
        <v>45871</v>
      </c>
      <c r="G255">
        <f ca="1">F255+VLOOKUP(E255,Routes!A:D,4,FALSE)</f>
        <v>45875</v>
      </c>
      <c r="H255">
        <f t="shared" ca="1" si="12"/>
        <v>45880</v>
      </c>
      <c r="I255">
        <f t="shared" ca="1" si="13"/>
        <v>5</v>
      </c>
      <c r="J255" t="str">
        <f t="shared" ca="1" si="14"/>
        <v>Late</v>
      </c>
      <c r="K255" t="str">
        <f t="shared" ca="1" si="15"/>
        <v>Major Delay</v>
      </c>
    </row>
    <row r="256" spans="1:11" x14ac:dyDescent="0.25">
      <c r="A256" t="s">
        <v>1520</v>
      </c>
      <c r="B256" t="s">
        <v>383</v>
      </c>
      <c r="C256" t="s">
        <v>196</v>
      </c>
      <c r="D256" t="s">
        <v>227</v>
      </c>
      <c r="E256" t="s">
        <v>244</v>
      </c>
      <c r="F256">
        <f ca="1">VLOOKUP(B256, Orders!A:E, 3, FALSE) + RANDBETWEEN(0,2)</f>
        <v>45968</v>
      </c>
      <c r="G256">
        <f ca="1">F256+VLOOKUP(E256,Routes!A:D,4,FALSE)</f>
        <v>45971</v>
      </c>
      <c r="H256">
        <f t="shared" ca="1" si="12"/>
        <v>45971</v>
      </c>
      <c r="I256">
        <f t="shared" ca="1" si="13"/>
        <v>0</v>
      </c>
      <c r="J256" t="str">
        <f t="shared" ca="1" si="14"/>
        <v>On Time</v>
      </c>
      <c r="K256" t="str">
        <f t="shared" ca="1" si="15"/>
        <v>On Time</v>
      </c>
    </row>
    <row r="257" spans="1:11" x14ac:dyDescent="0.25">
      <c r="A257" t="s">
        <v>1521</v>
      </c>
      <c r="B257" t="s">
        <v>303</v>
      </c>
      <c r="C257" t="s">
        <v>203</v>
      </c>
      <c r="D257" t="s">
        <v>217</v>
      </c>
      <c r="E257" t="s">
        <v>247</v>
      </c>
      <c r="F257">
        <f ca="1">VLOOKUP(B257, Orders!A:E, 3, FALSE) + RANDBETWEEN(0,2)</f>
        <v>46053</v>
      </c>
      <c r="G257">
        <f ca="1">F257+VLOOKUP(E257,Routes!A:D,4,FALSE)</f>
        <v>46057</v>
      </c>
      <c r="H257">
        <f t="shared" ca="1" si="12"/>
        <v>46057</v>
      </c>
      <c r="I257">
        <f t="shared" ca="1" si="13"/>
        <v>0</v>
      </c>
      <c r="J257" t="str">
        <f t="shared" ca="1" si="14"/>
        <v>On Time</v>
      </c>
      <c r="K257" t="str">
        <f t="shared" ca="1" si="15"/>
        <v>On Time</v>
      </c>
    </row>
    <row r="258" spans="1:11" x14ac:dyDescent="0.25">
      <c r="A258" t="s">
        <v>1522</v>
      </c>
      <c r="B258" t="s">
        <v>280</v>
      </c>
      <c r="C258" t="s">
        <v>203</v>
      </c>
      <c r="D258" t="s">
        <v>213</v>
      </c>
      <c r="E258" t="s">
        <v>259</v>
      </c>
      <c r="F258">
        <f ca="1">VLOOKUP(B258, Orders!A:E, 3, FALSE) + RANDBETWEEN(0,2)</f>
        <v>45813</v>
      </c>
      <c r="G258">
        <f ca="1">F258+VLOOKUP(E258,Routes!A:D,4,FALSE)</f>
        <v>45815</v>
      </c>
      <c r="H258">
        <f t="shared" ca="1" si="12"/>
        <v>45817</v>
      </c>
      <c r="I258">
        <f t="shared" ca="1" si="13"/>
        <v>2</v>
      </c>
      <c r="J258" t="str">
        <f t="shared" ca="1" si="14"/>
        <v>Late</v>
      </c>
      <c r="K258" t="str">
        <f t="shared" ca="1" si="15"/>
        <v>Minor Delay</v>
      </c>
    </row>
    <row r="259" spans="1:11" x14ac:dyDescent="0.25">
      <c r="A259" t="s">
        <v>1523</v>
      </c>
      <c r="B259" t="s">
        <v>406</v>
      </c>
      <c r="C259" t="s">
        <v>206</v>
      </c>
      <c r="D259" t="s">
        <v>213</v>
      </c>
      <c r="E259" t="s">
        <v>255</v>
      </c>
      <c r="F259">
        <f ca="1">VLOOKUP(B259, Orders!A:E, 3, FALSE) + RANDBETWEEN(0,2)</f>
        <v>45865</v>
      </c>
      <c r="G259">
        <f ca="1">F259+VLOOKUP(E259,Routes!A:D,4,FALSE)</f>
        <v>45868</v>
      </c>
      <c r="H259">
        <f t="shared" ref="H259:H321" ca="1" si="16">G259+IF(RAND()&lt;0.3,RANDBETWEEN(1,5),0)</f>
        <v>45869</v>
      </c>
      <c r="I259">
        <f t="shared" ref="I259:I321" ca="1" si="17">H259-G259</f>
        <v>1</v>
      </c>
      <c r="J259" t="str">
        <f t="shared" ref="J259:J321" ca="1" si="18">IF(I259&gt;0,"Late", "On Time")</f>
        <v>Late</v>
      </c>
      <c r="K259" t="str">
        <f t="shared" ref="K259:K321" ca="1" si="19">IF(I259&lt;=0, "On Time",  IF(I259&lt;=2, "Minor Delay", "Major Delay"))</f>
        <v>Minor Delay</v>
      </c>
    </row>
    <row r="260" spans="1:11" x14ac:dyDescent="0.25">
      <c r="A260" t="s">
        <v>1524</v>
      </c>
      <c r="B260" t="s">
        <v>281</v>
      </c>
      <c r="C260" t="s">
        <v>196</v>
      </c>
      <c r="D260" t="s">
        <v>227</v>
      </c>
      <c r="E260" t="s">
        <v>249</v>
      </c>
      <c r="F260">
        <f ca="1">VLOOKUP(B260, Orders!A:E, 3, FALSE) + RANDBETWEEN(0,2)</f>
        <v>45796</v>
      </c>
      <c r="G260">
        <f ca="1">F260+VLOOKUP(E260,Routes!A:D,4,FALSE)</f>
        <v>45798</v>
      </c>
      <c r="H260">
        <f t="shared" ca="1" si="16"/>
        <v>45798</v>
      </c>
      <c r="I260">
        <f t="shared" ca="1" si="17"/>
        <v>0</v>
      </c>
      <c r="J260" t="str">
        <f t="shared" ca="1" si="18"/>
        <v>On Time</v>
      </c>
      <c r="K260" t="str">
        <f t="shared" ca="1" si="19"/>
        <v>On Time</v>
      </c>
    </row>
    <row r="261" spans="1:11" x14ac:dyDescent="0.25">
      <c r="A261" t="s">
        <v>1525</v>
      </c>
      <c r="B261" t="s">
        <v>491</v>
      </c>
      <c r="C261" t="s">
        <v>203</v>
      </c>
      <c r="D261" t="s">
        <v>230</v>
      </c>
      <c r="E261" t="s">
        <v>255</v>
      </c>
      <c r="F261">
        <f ca="1">VLOOKUP(B261, Orders!A:E, 3, FALSE) + RANDBETWEEN(0,2)</f>
        <v>46015</v>
      </c>
      <c r="G261">
        <f ca="1">F261+VLOOKUP(E261,Routes!A:D,4,FALSE)</f>
        <v>46018</v>
      </c>
      <c r="H261">
        <f t="shared" ca="1" si="16"/>
        <v>46019</v>
      </c>
      <c r="I261">
        <f t="shared" ca="1" si="17"/>
        <v>1</v>
      </c>
      <c r="J261" t="str">
        <f t="shared" ca="1" si="18"/>
        <v>Late</v>
      </c>
      <c r="K261" t="str">
        <f t="shared" ca="1" si="19"/>
        <v>Minor Delay</v>
      </c>
    </row>
    <row r="262" spans="1:11" x14ac:dyDescent="0.25">
      <c r="A262" t="s">
        <v>1526</v>
      </c>
      <c r="B262" t="s">
        <v>279</v>
      </c>
      <c r="C262" t="s">
        <v>200</v>
      </c>
      <c r="D262" t="s">
        <v>230</v>
      </c>
      <c r="E262" t="s">
        <v>255</v>
      </c>
      <c r="F262">
        <f ca="1">VLOOKUP(B262, Orders!A:E, 3, FALSE) + RANDBETWEEN(0,2)</f>
        <v>45850</v>
      </c>
      <c r="G262">
        <f ca="1">F262+VLOOKUP(E262,Routes!A:D,4,FALSE)</f>
        <v>45853</v>
      </c>
      <c r="H262">
        <f t="shared" ca="1" si="16"/>
        <v>45858</v>
      </c>
      <c r="I262">
        <f t="shared" ca="1" si="17"/>
        <v>5</v>
      </c>
      <c r="J262" t="str">
        <f t="shared" ca="1" si="18"/>
        <v>Late</v>
      </c>
      <c r="K262" t="str">
        <f t="shared" ca="1" si="19"/>
        <v>Major Delay</v>
      </c>
    </row>
    <row r="263" spans="1:11" x14ac:dyDescent="0.25">
      <c r="A263" t="s">
        <v>1527</v>
      </c>
      <c r="B263" t="s">
        <v>416</v>
      </c>
      <c r="C263" t="s">
        <v>206</v>
      </c>
      <c r="D263" t="s">
        <v>217</v>
      </c>
      <c r="E263" t="s">
        <v>259</v>
      </c>
      <c r="F263">
        <f ca="1">VLOOKUP(B263, Orders!A:E, 3, FALSE) + RANDBETWEEN(0,2)</f>
        <v>45786</v>
      </c>
      <c r="G263">
        <f ca="1">F263+VLOOKUP(E263,Routes!A:D,4,FALSE)</f>
        <v>45788</v>
      </c>
      <c r="H263">
        <f t="shared" ca="1" si="16"/>
        <v>45793</v>
      </c>
      <c r="I263">
        <f t="shared" ca="1" si="17"/>
        <v>5</v>
      </c>
      <c r="J263" t="str">
        <f t="shared" ca="1" si="18"/>
        <v>Late</v>
      </c>
      <c r="K263" t="str">
        <f t="shared" ca="1" si="19"/>
        <v>Major Delay</v>
      </c>
    </row>
    <row r="264" spans="1:11" x14ac:dyDescent="0.25">
      <c r="A264" t="s">
        <v>1528</v>
      </c>
      <c r="B264" t="s">
        <v>272</v>
      </c>
      <c r="C264" t="s">
        <v>192</v>
      </c>
      <c r="D264" t="s">
        <v>213</v>
      </c>
      <c r="E264" t="s">
        <v>259</v>
      </c>
      <c r="F264">
        <f ca="1">VLOOKUP(B264, Orders!A:E, 3, FALSE) + RANDBETWEEN(0,2)</f>
        <v>46044</v>
      </c>
      <c r="G264">
        <f ca="1">F264+VLOOKUP(E264,Routes!A:D,4,FALSE)</f>
        <v>46046</v>
      </c>
      <c r="H264">
        <f t="shared" ca="1" si="16"/>
        <v>46046</v>
      </c>
      <c r="I264">
        <f t="shared" ca="1" si="17"/>
        <v>0</v>
      </c>
      <c r="J264" t="str">
        <f t="shared" ca="1" si="18"/>
        <v>On Time</v>
      </c>
      <c r="K264" t="str">
        <f t="shared" ca="1" si="19"/>
        <v>On Time</v>
      </c>
    </row>
    <row r="265" spans="1:11" x14ac:dyDescent="0.25">
      <c r="A265" t="s">
        <v>1529</v>
      </c>
      <c r="B265" t="s">
        <v>268</v>
      </c>
      <c r="C265" t="s">
        <v>206</v>
      </c>
      <c r="D265" t="s">
        <v>223</v>
      </c>
      <c r="E265" t="s">
        <v>251</v>
      </c>
      <c r="F265">
        <f ca="1">VLOOKUP(B265, Orders!A:E, 3, FALSE) + RANDBETWEEN(0,2)</f>
        <v>46032</v>
      </c>
      <c r="G265">
        <f ca="1">F265+VLOOKUP(E265,Routes!A:D,4,FALSE)</f>
        <v>46036</v>
      </c>
      <c r="H265">
        <f t="shared" ca="1" si="16"/>
        <v>46036</v>
      </c>
      <c r="I265">
        <f t="shared" ca="1" si="17"/>
        <v>0</v>
      </c>
      <c r="J265" t="str">
        <f t="shared" ca="1" si="18"/>
        <v>On Time</v>
      </c>
      <c r="K265" t="str">
        <f t="shared" ca="1" si="19"/>
        <v>On Time</v>
      </c>
    </row>
    <row r="266" spans="1:11" x14ac:dyDescent="0.25">
      <c r="A266" t="s">
        <v>1530</v>
      </c>
      <c r="B266" t="s">
        <v>487</v>
      </c>
      <c r="C266" t="s">
        <v>192</v>
      </c>
      <c r="D266" t="s">
        <v>217</v>
      </c>
      <c r="E266" t="s">
        <v>249</v>
      </c>
      <c r="F266">
        <f ca="1">VLOOKUP(B266, Orders!A:E, 3, FALSE) + RANDBETWEEN(0,2)</f>
        <v>45943</v>
      </c>
      <c r="G266">
        <f ca="1">F266+VLOOKUP(E266,Routes!A:D,4,FALSE)</f>
        <v>45945</v>
      </c>
      <c r="H266">
        <f t="shared" ca="1" si="16"/>
        <v>45945</v>
      </c>
      <c r="I266">
        <f t="shared" ca="1" si="17"/>
        <v>0</v>
      </c>
      <c r="J266" t="str">
        <f t="shared" ca="1" si="18"/>
        <v>On Time</v>
      </c>
      <c r="K266" t="str">
        <f t="shared" ca="1" si="19"/>
        <v>On Time</v>
      </c>
    </row>
    <row r="267" spans="1:11" x14ac:dyDescent="0.25">
      <c r="A267" t="s">
        <v>1531</v>
      </c>
      <c r="B267" t="s">
        <v>497</v>
      </c>
      <c r="C267" t="s">
        <v>192</v>
      </c>
      <c r="D267" t="s">
        <v>230</v>
      </c>
      <c r="E267" t="s">
        <v>246</v>
      </c>
      <c r="F267">
        <f ca="1">VLOOKUP(B267, Orders!A:E, 3, FALSE) + RANDBETWEEN(0,2)</f>
        <v>45840</v>
      </c>
      <c r="G267">
        <f ca="1">F267+VLOOKUP(E267,Routes!A:D,4,FALSE)</f>
        <v>45843</v>
      </c>
      <c r="H267">
        <f t="shared" ca="1" si="16"/>
        <v>45843</v>
      </c>
      <c r="I267">
        <f t="shared" ca="1" si="17"/>
        <v>0</v>
      </c>
      <c r="J267" t="str">
        <f t="shared" ca="1" si="18"/>
        <v>On Time</v>
      </c>
      <c r="K267" t="str">
        <f t="shared" ca="1" si="19"/>
        <v>On Time</v>
      </c>
    </row>
    <row r="268" spans="1:11" x14ac:dyDescent="0.25">
      <c r="A268" t="s">
        <v>1532</v>
      </c>
      <c r="B268" t="s">
        <v>311</v>
      </c>
      <c r="C268" t="s">
        <v>196</v>
      </c>
      <c r="D268" t="s">
        <v>217</v>
      </c>
      <c r="E268" t="s">
        <v>257</v>
      </c>
      <c r="F268">
        <f ca="1">VLOOKUP(B268, Orders!A:E, 3, FALSE) + RANDBETWEEN(0,2)</f>
        <v>45986</v>
      </c>
      <c r="G268">
        <f ca="1">F268+VLOOKUP(E268,Routes!A:D,4,FALSE)</f>
        <v>45989</v>
      </c>
      <c r="H268">
        <f t="shared" ca="1" si="16"/>
        <v>45989</v>
      </c>
      <c r="I268">
        <f t="shared" ca="1" si="17"/>
        <v>0</v>
      </c>
      <c r="J268" t="str">
        <f t="shared" ca="1" si="18"/>
        <v>On Time</v>
      </c>
      <c r="K268" t="str">
        <f t="shared" ca="1" si="19"/>
        <v>On Time</v>
      </c>
    </row>
    <row r="269" spans="1:11" x14ac:dyDescent="0.25">
      <c r="A269" t="s">
        <v>1533</v>
      </c>
      <c r="B269" t="s">
        <v>309</v>
      </c>
      <c r="C269" t="s">
        <v>200</v>
      </c>
      <c r="D269" t="s">
        <v>223</v>
      </c>
      <c r="E269" t="s">
        <v>242</v>
      </c>
      <c r="F269">
        <f ca="1">VLOOKUP(B269, Orders!A:E, 3, FALSE) + RANDBETWEEN(0,2)</f>
        <v>45939</v>
      </c>
      <c r="G269">
        <f ca="1">F269+VLOOKUP(E269,Routes!A:D,4,FALSE)</f>
        <v>45943</v>
      </c>
      <c r="H269">
        <f t="shared" ca="1" si="16"/>
        <v>45943</v>
      </c>
      <c r="I269">
        <f t="shared" ca="1" si="17"/>
        <v>0</v>
      </c>
      <c r="J269" t="str">
        <f t="shared" ca="1" si="18"/>
        <v>On Time</v>
      </c>
      <c r="K269" t="str">
        <f t="shared" ca="1" si="19"/>
        <v>On Time</v>
      </c>
    </row>
    <row r="270" spans="1:11" x14ac:dyDescent="0.25">
      <c r="A270" t="s">
        <v>1534</v>
      </c>
      <c r="B270" t="s">
        <v>412</v>
      </c>
      <c r="C270" t="s">
        <v>206</v>
      </c>
      <c r="D270" t="s">
        <v>227</v>
      </c>
      <c r="E270" t="s">
        <v>253</v>
      </c>
      <c r="F270">
        <f ca="1">VLOOKUP(B270, Orders!A:E, 3, FALSE) + RANDBETWEEN(0,2)</f>
        <v>45879</v>
      </c>
      <c r="G270">
        <f ca="1">F270+VLOOKUP(E270,Routes!A:D,4,FALSE)</f>
        <v>45883</v>
      </c>
      <c r="H270">
        <f t="shared" ca="1" si="16"/>
        <v>45888</v>
      </c>
      <c r="I270">
        <f t="shared" ca="1" si="17"/>
        <v>5</v>
      </c>
      <c r="J270" t="str">
        <f t="shared" ca="1" si="18"/>
        <v>Late</v>
      </c>
      <c r="K270" t="str">
        <f t="shared" ca="1" si="19"/>
        <v>Major Delay</v>
      </c>
    </row>
    <row r="271" spans="1:11" x14ac:dyDescent="0.25">
      <c r="A271" t="s">
        <v>1535</v>
      </c>
      <c r="B271" t="s">
        <v>516</v>
      </c>
      <c r="C271" t="s">
        <v>196</v>
      </c>
      <c r="D271" t="s">
        <v>213</v>
      </c>
      <c r="E271" t="s">
        <v>259</v>
      </c>
      <c r="F271">
        <f ca="1">VLOOKUP(B271, Orders!A:E, 3, FALSE) + RANDBETWEEN(0,2)</f>
        <v>45794</v>
      </c>
      <c r="G271">
        <f ca="1">F271+VLOOKUP(E271,Routes!A:D,4,FALSE)</f>
        <v>45796</v>
      </c>
      <c r="H271">
        <f t="shared" ca="1" si="16"/>
        <v>45796</v>
      </c>
      <c r="I271">
        <f t="shared" ca="1" si="17"/>
        <v>0</v>
      </c>
      <c r="J271" t="str">
        <f t="shared" ca="1" si="18"/>
        <v>On Time</v>
      </c>
      <c r="K271" t="str">
        <f t="shared" ca="1" si="19"/>
        <v>On Time</v>
      </c>
    </row>
    <row r="272" spans="1:11" x14ac:dyDescent="0.25">
      <c r="A272" t="s">
        <v>1536</v>
      </c>
      <c r="B272" t="s">
        <v>483</v>
      </c>
      <c r="C272" t="s">
        <v>206</v>
      </c>
      <c r="D272" t="s">
        <v>227</v>
      </c>
      <c r="E272" t="s">
        <v>253</v>
      </c>
      <c r="F272">
        <f ca="1">VLOOKUP(B272, Orders!A:E, 3, FALSE) + RANDBETWEEN(0,2)</f>
        <v>46001</v>
      </c>
      <c r="G272">
        <f ca="1">F272+VLOOKUP(E272,Routes!A:D,4,FALSE)</f>
        <v>46005</v>
      </c>
      <c r="H272">
        <f t="shared" ca="1" si="16"/>
        <v>46009</v>
      </c>
      <c r="I272">
        <f t="shared" ca="1" si="17"/>
        <v>4</v>
      </c>
      <c r="J272" t="str">
        <f t="shared" ca="1" si="18"/>
        <v>Late</v>
      </c>
      <c r="K272" t="str">
        <f t="shared" ca="1" si="19"/>
        <v>Major Delay</v>
      </c>
    </row>
    <row r="273" spans="1:11" x14ac:dyDescent="0.25">
      <c r="A273" t="s">
        <v>1537</v>
      </c>
      <c r="B273" t="s">
        <v>420</v>
      </c>
      <c r="C273" t="s">
        <v>196</v>
      </c>
      <c r="D273" t="s">
        <v>220</v>
      </c>
      <c r="E273" t="s">
        <v>246</v>
      </c>
      <c r="F273">
        <f ca="1">VLOOKUP(B273, Orders!A:E, 3, FALSE) + RANDBETWEEN(0,2)</f>
        <v>45926</v>
      </c>
      <c r="G273">
        <f ca="1">F273+VLOOKUP(E273,Routes!A:D,4,FALSE)</f>
        <v>45929</v>
      </c>
      <c r="H273">
        <f t="shared" ca="1" si="16"/>
        <v>45929</v>
      </c>
      <c r="I273">
        <f t="shared" ca="1" si="17"/>
        <v>0</v>
      </c>
      <c r="J273" t="str">
        <f t="shared" ca="1" si="18"/>
        <v>On Time</v>
      </c>
      <c r="K273" t="str">
        <f t="shared" ca="1" si="19"/>
        <v>On Time</v>
      </c>
    </row>
    <row r="274" spans="1:11" x14ac:dyDescent="0.25">
      <c r="A274" t="s">
        <v>1538</v>
      </c>
      <c r="B274" t="s">
        <v>336</v>
      </c>
      <c r="C274" t="s">
        <v>196</v>
      </c>
      <c r="D274" t="s">
        <v>220</v>
      </c>
      <c r="E274" t="s">
        <v>249</v>
      </c>
      <c r="F274">
        <f ca="1">VLOOKUP(B274, Orders!A:E, 3, FALSE) + RANDBETWEEN(0,2)</f>
        <v>46000</v>
      </c>
      <c r="G274">
        <f ca="1">F274+VLOOKUP(E274,Routes!A:D,4,FALSE)</f>
        <v>46002</v>
      </c>
      <c r="H274">
        <f t="shared" ca="1" si="16"/>
        <v>46002</v>
      </c>
      <c r="I274">
        <f t="shared" ca="1" si="17"/>
        <v>0</v>
      </c>
      <c r="J274" t="str">
        <f t="shared" ca="1" si="18"/>
        <v>On Time</v>
      </c>
      <c r="K274" t="str">
        <f t="shared" ca="1" si="19"/>
        <v>On Time</v>
      </c>
    </row>
    <row r="275" spans="1:11" x14ac:dyDescent="0.25">
      <c r="A275" t="s">
        <v>1539</v>
      </c>
      <c r="B275" t="s">
        <v>453</v>
      </c>
      <c r="C275" t="s">
        <v>200</v>
      </c>
      <c r="D275" t="s">
        <v>230</v>
      </c>
      <c r="E275" t="s">
        <v>257</v>
      </c>
      <c r="F275">
        <f ca="1">VLOOKUP(B275, Orders!A:E, 3, FALSE) + RANDBETWEEN(0,2)</f>
        <v>45896</v>
      </c>
      <c r="G275">
        <f ca="1">F275+VLOOKUP(E275,Routes!A:D,4,FALSE)</f>
        <v>45899</v>
      </c>
      <c r="H275">
        <f t="shared" ca="1" si="16"/>
        <v>45899</v>
      </c>
      <c r="I275">
        <f t="shared" ca="1" si="17"/>
        <v>0</v>
      </c>
      <c r="J275" t="str">
        <f t="shared" ca="1" si="18"/>
        <v>On Time</v>
      </c>
      <c r="K275" t="str">
        <f t="shared" ca="1" si="19"/>
        <v>On Time</v>
      </c>
    </row>
    <row r="276" spans="1:11" x14ac:dyDescent="0.25">
      <c r="A276" t="s">
        <v>1540</v>
      </c>
      <c r="B276" t="s">
        <v>505</v>
      </c>
      <c r="C276" t="s">
        <v>200</v>
      </c>
      <c r="D276" t="s">
        <v>227</v>
      </c>
      <c r="E276" t="s">
        <v>240</v>
      </c>
      <c r="F276">
        <f ca="1">VLOOKUP(B276, Orders!A:E, 3, FALSE) + RANDBETWEEN(0,2)</f>
        <v>45868</v>
      </c>
      <c r="G276">
        <f ca="1">F276+VLOOKUP(E276,Routes!A:D,4,FALSE)</f>
        <v>45872</v>
      </c>
      <c r="H276">
        <f t="shared" ca="1" si="16"/>
        <v>45872</v>
      </c>
      <c r="I276">
        <f t="shared" ca="1" si="17"/>
        <v>0</v>
      </c>
      <c r="J276" t="str">
        <f t="shared" ca="1" si="18"/>
        <v>On Time</v>
      </c>
      <c r="K276" t="str">
        <f t="shared" ca="1" si="19"/>
        <v>On Time</v>
      </c>
    </row>
    <row r="277" spans="1:11" x14ac:dyDescent="0.25">
      <c r="A277" t="s">
        <v>1541</v>
      </c>
      <c r="B277" t="s">
        <v>467</v>
      </c>
      <c r="C277" t="s">
        <v>206</v>
      </c>
      <c r="D277" t="s">
        <v>223</v>
      </c>
      <c r="E277" t="s">
        <v>247</v>
      </c>
      <c r="F277">
        <f ca="1">VLOOKUP(B277, Orders!A:E, 3, FALSE) + RANDBETWEEN(0,2)</f>
        <v>45815</v>
      </c>
      <c r="G277">
        <f ca="1">F277+VLOOKUP(E277,Routes!A:D,4,FALSE)</f>
        <v>45819</v>
      </c>
      <c r="H277">
        <f t="shared" ca="1" si="16"/>
        <v>45819</v>
      </c>
      <c r="I277">
        <f t="shared" ca="1" si="17"/>
        <v>0</v>
      </c>
      <c r="J277" t="str">
        <f t="shared" ca="1" si="18"/>
        <v>On Time</v>
      </c>
      <c r="K277" t="str">
        <f t="shared" ca="1" si="19"/>
        <v>On Time</v>
      </c>
    </row>
    <row r="278" spans="1:11" x14ac:dyDescent="0.25">
      <c r="A278" t="s">
        <v>1542</v>
      </c>
      <c r="B278" t="s">
        <v>367</v>
      </c>
      <c r="C278" t="s">
        <v>203</v>
      </c>
      <c r="D278" t="s">
        <v>213</v>
      </c>
      <c r="E278" t="s">
        <v>257</v>
      </c>
      <c r="F278">
        <f ca="1">VLOOKUP(B278, Orders!A:E, 3, FALSE) + RANDBETWEEN(0,2)</f>
        <v>45902</v>
      </c>
      <c r="G278">
        <f ca="1">F278+VLOOKUP(E278,Routes!A:D,4,FALSE)</f>
        <v>45905</v>
      </c>
      <c r="H278">
        <f t="shared" ca="1" si="16"/>
        <v>45905</v>
      </c>
      <c r="I278">
        <f t="shared" ca="1" si="17"/>
        <v>0</v>
      </c>
      <c r="J278" t="str">
        <f t="shared" ca="1" si="18"/>
        <v>On Time</v>
      </c>
      <c r="K278" t="str">
        <f t="shared" ca="1" si="19"/>
        <v>On Time</v>
      </c>
    </row>
    <row r="279" spans="1:11" x14ac:dyDescent="0.25">
      <c r="A279" t="s">
        <v>1543</v>
      </c>
      <c r="B279" t="s">
        <v>459</v>
      </c>
      <c r="C279" t="s">
        <v>200</v>
      </c>
      <c r="D279" t="s">
        <v>220</v>
      </c>
      <c r="E279" t="s">
        <v>240</v>
      </c>
      <c r="F279">
        <f ca="1">VLOOKUP(B279, Orders!A:E, 3, FALSE) + RANDBETWEEN(0,2)</f>
        <v>46036</v>
      </c>
      <c r="G279">
        <f ca="1">F279+VLOOKUP(E279,Routes!A:D,4,FALSE)</f>
        <v>46040</v>
      </c>
      <c r="H279">
        <f t="shared" ca="1" si="16"/>
        <v>46040</v>
      </c>
      <c r="I279">
        <f t="shared" ca="1" si="17"/>
        <v>0</v>
      </c>
      <c r="J279" t="str">
        <f t="shared" ca="1" si="18"/>
        <v>On Time</v>
      </c>
      <c r="K279" t="str">
        <f t="shared" ca="1" si="19"/>
        <v>On Time</v>
      </c>
    </row>
    <row r="280" spans="1:11" x14ac:dyDescent="0.25">
      <c r="A280" t="s">
        <v>1544</v>
      </c>
      <c r="B280" t="s">
        <v>501</v>
      </c>
      <c r="C280" t="s">
        <v>196</v>
      </c>
      <c r="D280" t="s">
        <v>223</v>
      </c>
      <c r="E280" t="s">
        <v>246</v>
      </c>
      <c r="F280">
        <f ca="1">VLOOKUP(B280, Orders!A:E, 3, FALSE) + RANDBETWEEN(0,2)</f>
        <v>45863</v>
      </c>
      <c r="G280">
        <f ca="1">F280+VLOOKUP(E280,Routes!A:D,4,FALSE)</f>
        <v>45866</v>
      </c>
      <c r="H280">
        <f t="shared" ca="1" si="16"/>
        <v>45866</v>
      </c>
      <c r="I280">
        <f t="shared" ca="1" si="17"/>
        <v>0</v>
      </c>
      <c r="J280" t="str">
        <f t="shared" ca="1" si="18"/>
        <v>On Time</v>
      </c>
      <c r="K280" t="str">
        <f t="shared" ca="1" si="19"/>
        <v>On Time</v>
      </c>
    </row>
    <row r="281" spans="1:11" x14ac:dyDescent="0.25">
      <c r="A281" t="s">
        <v>1545</v>
      </c>
      <c r="B281" t="s">
        <v>295</v>
      </c>
      <c r="C281" t="s">
        <v>192</v>
      </c>
      <c r="D281" t="s">
        <v>217</v>
      </c>
      <c r="E281" t="s">
        <v>242</v>
      </c>
      <c r="F281">
        <f ca="1">VLOOKUP(B281, Orders!A:E, 3, FALSE) + RANDBETWEEN(0,2)</f>
        <v>45895</v>
      </c>
      <c r="G281">
        <f ca="1">F281+VLOOKUP(E281,Routes!A:D,4,FALSE)</f>
        <v>45899</v>
      </c>
      <c r="H281">
        <f t="shared" ca="1" si="16"/>
        <v>45899</v>
      </c>
      <c r="I281">
        <f t="shared" ca="1" si="17"/>
        <v>0</v>
      </c>
      <c r="J281" t="str">
        <f t="shared" ca="1" si="18"/>
        <v>On Time</v>
      </c>
      <c r="K281" t="str">
        <f t="shared" ca="1" si="19"/>
        <v>On Time</v>
      </c>
    </row>
    <row r="282" spans="1:11" x14ac:dyDescent="0.25">
      <c r="A282" t="s">
        <v>1546</v>
      </c>
      <c r="B282" t="s">
        <v>419</v>
      </c>
      <c r="C282" t="s">
        <v>206</v>
      </c>
      <c r="D282" t="s">
        <v>220</v>
      </c>
      <c r="E282" t="s">
        <v>247</v>
      </c>
      <c r="F282">
        <f ca="1">VLOOKUP(B282, Orders!A:E, 3, FALSE) + RANDBETWEEN(0,2)</f>
        <v>45893</v>
      </c>
      <c r="G282">
        <f ca="1">F282+VLOOKUP(E282,Routes!A:D,4,FALSE)</f>
        <v>45897</v>
      </c>
      <c r="H282">
        <f t="shared" ca="1" si="16"/>
        <v>45897</v>
      </c>
      <c r="I282">
        <f t="shared" ca="1" si="17"/>
        <v>0</v>
      </c>
      <c r="J282" t="str">
        <f t="shared" ca="1" si="18"/>
        <v>On Time</v>
      </c>
      <c r="K282" t="str">
        <f t="shared" ca="1" si="19"/>
        <v>On Time</v>
      </c>
    </row>
    <row r="283" spans="1:11" x14ac:dyDescent="0.25">
      <c r="A283" t="s">
        <v>1547</v>
      </c>
      <c r="B283" t="s">
        <v>446</v>
      </c>
      <c r="C283" t="s">
        <v>206</v>
      </c>
      <c r="D283" t="s">
        <v>223</v>
      </c>
      <c r="E283" t="s">
        <v>237</v>
      </c>
      <c r="F283">
        <f ca="1">VLOOKUP(B283, Orders!A:E, 3, FALSE) + RANDBETWEEN(0,2)</f>
        <v>45933</v>
      </c>
      <c r="G283">
        <f ca="1">F283+VLOOKUP(E283,Routes!A:D,4,FALSE)</f>
        <v>45935</v>
      </c>
      <c r="H283">
        <f t="shared" ca="1" si="16"/>
        <v>45935</v>
      </c>
      <c r="I283">
        <f t="shared" ca="1" si="17"/>
        <v>0</v>
      </c>
      <c r="J283" t="str">
        <f t="shared" ca="1" si="18"/>
        <v>On Time</v>
      </c>
      <c r="K283" t="str">
        <f t="shared" ca="1" si="19"/>
        <v>On Time</v>
      </c>
    </row>
    <row r="284" spans="1:11" x14ac:dyDescent="0.25">
      <c r="A284" t="s">
        <v>1548</v>
      </c>
      <c r="B284" t="s">
        <v>314</v>
      </c>
      <c r="C284" t="s">
        <v>192</v>
      </c>
      <c r="D284" t="s">
        <v>217</v>
      </c>
      <c r="E284" t="s">
        <v>249</v>
      </c>
      <c r="F284">
        <f ca="1">VLOOKUP(B284, Orders!A:E, 3, FALSE) + RANDBETWEEN(0,2)</f>
        <v>45797</v>
      </c>
      <c r="G284">
        <f ca="1">F284+VLOOKUP(E284,Routes!A:D,4,FALSE)</f>
        <v>45799</v>
      </c>
      <c r="H284">
        <f t="shared" ca="1" si="16"/>
        <v>45799</v>
      </c>
      <c r="I284">
        <f t="shared" ca="1" si="17"/>
        <v>0</v>
      </c>
      <c r="J284" t="str">
        <f t="shared" ca="1" si="18"/>
        <v>On Time</v>
      </c>
      <c r="K284" t="str">
        <f t="shared" ca="1" si="19"/>
        <v>On Time</v>
      </c>
    </row>
    <row r="285" spans="1:11" x14ac:dyDescent="0.25">
      <c r="A285" t="s">
        <v>1549</v>
      </c>
      <c r="B285" t="s">
        <v>413</v>
      </c>
      <c r="C285" t="s">
        <v>203</v>
      </c>
      <c r="D285" t="s">
        <v>230</v>
      </c>
      <c r="E285" t="s">
        <v>257</v>
      </c>
      <c r="F285">
        <f ca="1">VLOOKUP(B285, Orders!A:E, 3, FALSE) + RANDBETWEEN(0,2)</f>
        <v>45990</v>
      </c>
      <c r="G285">
        <f ca="1">F285+VLOOKUP(E285,Routes!A:D,4,FALSE)</f>
        <v>45993</v>
      </c>
      <c r="H285">
        <f t="shared" ca="1" si="16"/>
        <v>45993</v>
      </c>
      <c r="I285">
        <f t="shared" ca="1" si="17"/>
        <v>0</v>
      </c>
      <c r="J285" t="str">
        <f t="shared" ca="1" si="18"/>
        <v>On Time</v>
      </c>
      <c r="K285" t="str">
        <f t="shared" ca="1" si="19"/>
        <v>On Time</v>
      </c>
    </row>
    <row r="286" spans="1:11" x14ac:dyDescent="0.25">
      <c r="A286" t="s">
        <v>1550</v>
      </c>
      <c r="B286" t="s">
        <v>362</v>
      </c>
      <c r="C286" t="s">
        <v>200</v>
      </c>
      <c r="D286" t="s">
        <v>217</v>
      </c>
      <c r="E286" t="s">
        <v>251</v>
      </c>
      <c r="F286">
        <f ca="1">VLOOKUP(B286, Orders!A:E, 3, FALSE) + RANDBETWEEN(0,2)</f>
        <v>45867</v>
      </c>
      <c r="G286">
        <f ca="1">F286+VLOOKUP(E286,Routes!A:D,4,FALSE)</f>
        <v>45871</v>
      </c>
      <c r="H286">
        <f t="shared" ca="1" si="16"/>
        <v>45871</v>
      </c>
      <c r="I286">
        <f t="shared" ca="1" si="17"/>
        <v>0</v>
      </c>
      <c r="J286" t="str">
        <f t="shared" ca="1" si="18"/>
        <v>On Time</v>
      </c>
      <c r="K286" t="str">
        <f t="shared" ca="1" si="19"/>
        <v>On Time</v>
      </c>
    </row>
    <row r="287" spans="1:11" x14ac:dyDescent="0.25">
      <c r="A287" t="s">
        <v>1551</v>
      </c>
      <c r="B287" t="s">
        <v>376</v>
      </c>
      <c r="C287" t="s">
        <v>200</v>
      </c>
      <c r="D287" t="s">
        <v>230</v>
      </c>
      <c r="E287" t="s">
        <v>257</v>
      </c>
      <c r="F287">
        <f ca="1">VLOOKUP(B287, Orders!A:E, 3, FALSE) + RANDBETWEEN(0,2)</f>
        <v>45818</v>
      </c>
      <c r="G287">
        <f ca="1">F287+VLOOKUP(E287,Routes!A:D,4,FALSE)</f>
        <v>45821</v>
      </c>
      <c r="H287">
        <f t="shared" ca="1" si="16"/>
        <v>45821</v>
      </c>
      <c r="I287">
        <f t="shared" ca="1" si="17"/>
        <v>0</v>
      </c>
      <c r="J287" t="str">
        <f t="shared" ca="1" si="18"/>
        <v>On Time</v>
      </c>
      <c r="K287" t="str">
        <f t="shared" ca="1" si="19"/>
        <v>On Time</v>
      </c>
    </row>
    <row r="288" spans="1:11" x14ac:dyDescent="0.25">
      <c r="A288" t="s">
        <v>1552</v>
      </c>
      <c r="B288" t="s">
        <v>377</v>
      </c>
      <c r="C288" t="s">
        <v>192</v>
      </c>
      <c r="D288" t="s">
        <v>217</v>
      </c>
      <c r="E288" t="s">
        <v>253</v>
      </c>
      <c r="F288">
        <f ca="1">VLOOKUP(B288, Orders!A:E, 3, FALSE) + RANDBETWEEN(0,2)</f>
        <v>46025</v>
      </c>
      <c r="G288">
        <f ca="1">F288+VLOOKUP(E288,Routes!A:D,4,FALSE)</f>
        <v>46029</v>
      </c>
      <c r="H288">
        <f t="shared" ca="1" si="16"/>
        <v>46029</v>
      </c>
      <c r="I288">
        <f t="shared" ca="1" si="17"/>
        <v>0</v>
      </c>
      <c r="J288" t="str">
        <f t="shared" ca="1" si="18"/>
        <v>On Time</v>
      </c>
      <c r="K288" t="str">
        <f t="shared" ca="1" si="19"/>
        <v>On Time</v>
      </c>
    </row>
    <row r="289" spans="1:11" x14ac:dyDescent="0.25">
      <c r="A289" t="s">
        <v>1553</v>
      </c>
      <c r="B289" t="s">
        <v>334</v>
      </c>
      <c r="C289" t="s">
        <v>196</v>
      </c>
      <c r="D289" t="s">
        <v>217</v>
      </c>
      <c r="E289" t="s">
        <v>237</v>
      </c>
      <c r="F289">
        <f ca="1">VLOOKUP(B289, Orders!A:E, 3, FALSE) + RANDBETWEEN(0,2)</f>
        <v>45917</v>
      </c>
      <c r="G289">
        <f ca="1">F289+VLOOKUP(E289,Routes!A:D,4,FALSE)</f>
        <v>45919</v>
      </c>
      <c r="H289">
        <f t="shared" ca="1" si="16"/>
        <v>45919</v>
      </c>
      <c r="I289">
        <f t="shared" ca="1" si="17"/>
        <v>0</v>
      </c>
      <c r="J289" t="str">
        <f t="shared" ca="1" si="18"/>
        <v>On Time</v>
      </c>
      <c r="K289" t="str">
        <f t="shared" ca="1" si="19"/>
        <v>On Time</v>
      </c>
    </row>
    <row r="290" spans="1:11" x14ac:dyDescent="0.25">
      <c r="A290" t="s">
        <v>1554</v>
      </c>
      <c r="B290" t="s">
        <v>356</v>
      </c>
      <c r="C290" t="s">
        <v>196</v>
      </c>
      <c r="D290" t="s">
        <v>213</v>
      </c>
      <c r="E290" t="s">
        <v>240</v>
      </c>
      <c r="F290">
        <f ca="1">VLOOKUP(B290, Orders!A:E, 3, FALSE) + RANDBETWEEN(0,2)</f>
        <v>46017</v>
      </c>
      <c r="G290">
        <f ca="1">F290+VLOOKUP(E290,Routes!A:D,4,FALSE)</f>
        <v>46021</v>
      </c>
      <c r="H290">
        <f t="shared" ca="1" si="16"/>
        <v>46021</v>
      </c>
      <c r="I290">
        <f t="shared" ca="1" si="17"/>
        <v>0</v>
      </c>
      <c r="J290" t="str">
        <f t="shared" ca="1" si="18"/>
        <v>On Time</v>
      </c>
      <c r="K290" t="str">
        <f t="shared" ca="1" si="19"/>
        <v>On Time</v>
      </c>
    </row>
    <row r="291" spans="1:11" x14ac:dyDescent="0.25">
      <c r="A291" t="s">
        <v>1555</v>
      </c>
      <c r="B291" t="s">
        <v>389</v>
      </c>
      <c r="C291" t="s">
        <v>192</v>
      </c>
      <c r="D291" t="s">
        <v>227</v>
      </c>
      <c r="E291" t="s">
        <v>240</v>
      </c>
      <c r="F291">
        <f ca="1">VLOOKUP(B291, Orders!A:E, 3, FALSE) + RANDBETWEEN(0,2)</f>
        <v>45935</v>
      </c>
      <c r="G291">
        <f ca="1">F291+VLOOKUP(E291,Routes!A:D,4,FALSE)</f>
        <v>45939</v>
      </c>
      <c r="H291">
        <f t="shared" ca="1" si="16"/>
        <v>45939</v>
      </c>
      <c r="I291">
        <f t="shared" ca="1" si="17"/>
        <v>0</v>
      </c>
      <c r="J291" t="str">
        <f t="shared" ca="1" si="18"/>
        <v>On Time</v>
      </c>
      <c r="K291" t="str">
        <f t="shared" ca="1" si="19"/>
        <v>On Time</v>
      </c>
    </row>
    <row r="292" spans="1:11" x14ac:dyDescent="0.25">
      <c r="A292" t="s">
        <v>1556</v>
      </c>
      <c r="B292" t="s">
        <v>490</v>
      </c>
      <c r="C292" t="s">
        <v>206</v>
      </c>
      <c r="D292" t="s">
        <v>213</v>
      </c>
      <c r="E292" t="s">
        <v>237</v>
      </c>
      <c r="F292">
        <f ca="1">VLOOKUP(B292, Orders!A:E, 3, FALSE) + RANDBETWEEN(0,2)</f>
        <v>46037</v>
      </c>
      <c r="G292">
        <f ca="1">F292+VLOOKUP(E292,Routes!A:D,4,FALSE)</f>
        <v>46039</v>
      </c>
      <c r="H292">
        <f t="shared" ca="1" si="16"/>
        <v>46039</v>
      </c>
      <c r="I292">
        <f t="shared" ca="1" si="17"/>
        <v>0</v>
      </c>
      <c r="J292" t="str">
        <f t="shared" ca="1" si="18"/>
        <v>On Time</v>
      </c>
      <c r="K292" t="str">
        <f t="shared" ca="1" si="19"/>
        <v>On Time</v>
      </c>
    </row>
    <row r="293" spans="1:11" x14ac:dyDescent="0.25">
      <c r="A293" t="s">
        <v>1557</v>
      </c>
      <c r="B293" t="s">
        <v>302</v>
      </c>
      <c r="C293" t="s">
        <v>196</v>
      </c>
      <c r="D293" t="s">
        <v>227</v>
      </c>
      <c r="E293" t="s">
        <v>246</v>
      </c>
      <c r="F293">
        <f ca="1">VLOOKUP(B293, Orders!A:E, 3, FALSE) + RANDBETWEEN(0,2)</f>
        <v>45807</v>
      </c>
      <c r="G293">
        <f ca="1">F293+VLOOKUP(E293,Routes!A:D,4,FALSE)</f>
        <v>45810</v>
      </c>
      <c r="H293">
        <f t="shared" ca="1" si="16"/>
        <v>45810</v>
      </c>
      <c r="I293">
        <f t="shared" ca="1" si="17"/>
        <v>0</v>
      </c>
      <c r="J293" t="str">
        <f t="shared" ca="1" si="18"/>
        <v>On Time</v>
      </c>
      <c r="K293" t="str">
        <f t="shared" ca="1" si="19"/>
        <v>On Time</v>
      </c>
    </row>
    <row r="294" spans="1:11" x14ac:dyDescent="0.25">
      <c r="A294" t="s">
        <v>1558</v>
      </c>
      <c r="B294" t="s">
        <v>483</v>
      </c>
      <c r="C294" t="s">
        <v>200</v>
      </c>
      <c r="D294" t="s">
        <v>213</v>
      </c>
      <c r="E294" t="s">
        <v>240</v>
      </c>
      <c r="F294">
        <f ca="1">VLOOKUP(B294, Orders!A:E, 3, FALSE) + RANDBETWEEN(0,2)</f>
        <v>46001</v>
      </c>
      <c r="G294">
        <f ca="1">F294+VLOOKUP(E294,Routes!A:D,4,FALSE)</f>
        <v>46005</v>
      </c>
      <c r="H294">
        <f t="shared" ca="1" si="16"/>
        <v>46009</v>
      </c>
      <c r="I294">
        <f t="shared" ca="1" si="17"/>
        <v>4</v>
      </c>
      <c r="J294" t="str">
        <f t="shared" ca="1" si="18"/>
        <v>Late</v>
      </c>
      <c r="K294" t="str">
        <f t="shared" ca="1" si="19"/>
        <v>Major Delay</v>
      </c>
    </row>
    <row r="295" spans="1:11" x14ac:dyDescent="0.25">
      <c r="A295" t="s">
        <v>1559</v>
      </c>
      <c r="B295" t="s">
        <v>336</v>
      </c>
      <c r="C295" t="s">
        <v>200</v>
      </c>
      <c r="D295" t="s">
        <v>220</v>
      </c>
      <c r="E295" t="s">
        <v>246</v>
      </c>
      <c r="F295">
        <f ca="1">VLOOKUP(B295, Orders!A:E, 3, FALSE) + RANDBETWEEN(0,2)</f>
        <v>46000</v>
      </c>
      <c r="G295">
        <f ca="1">F295+VLOOKUP(E295,Routes!A:D,4,FALSE)</f>
        <v>46003</v>
      </c>
      <c r="H295">
        <f t="shared" ca="1" si="16"/>
        <v>46003</v>
      </c>
      <c r="I295">
        <f t="shared" ca="1" si="17"/>
        <v>0</v>
      </c>
      <c r="J295" t="str">
        <f t="shared" ca="1" si="18"/>
        <v>On Time</v>
      </c>
      <c r="K295" t="str">
        <f t="shared" ca="1" si="19"/>
        <v>On Time</v>
      </c>
    </row>
    <row r="296" spans="1:11" x14ac:dyDescent="0.25">
      <c r="A296" t="s">
        <v>1560</v>
      </c>
      <c r="B296" t="s">
        <v>414</v>
      </c>
      <c r="C296" t="s">
        <v>203</v>
      </c>
      <c r="D296" t="s">
        <v>217</v>
      </c>
      <c r="E296" t="s">
        <v>257</v>
      </c>
      <c r="F296">
        <f ca="1">VLOOKUP(B296, Orders!A:E, 3, FALSE) + RANDBETWEEN(0,2)</f>
        <v>46006</v>
      </c>
      <c r="G296">
        <f ca="1">F296+VLOOKUP(E296,Routes!A:D,4,FALSE)</f>
        <v>46009</v>
      </c>
      <c r="H296">
        <f t="shared" ca="1" si="16"/>
        <v>46009</v>
      </c>
      <c r="I296">
        <f t="shared" ca="1" si="17"/>
        <v>0</v>
      </c>
      <c r="J296" t="str">
        <f t="shared" ca="1" si="18"/>
        <v>On Time</v>
      </c>
      <c r="K296" t="str">
        <f t="shared" ca="1" si="19"/>
        <v>On Time</v>
      </c>
    </row>
    <row r="297" spans="1:11" x14ac:dyDescent="0.25">
      <c r="A297" t="s">
        <v>1561</v>
      </c>
      <c r="B297" t="s">
        <v>398</v>
      </c>
      <c r="C297" t="s">
        <v>206</v>
      </c>
      <c r="D297" t="s">
        <v>223</v>
      </c>
      <c r="E297" t="s">
        <v>242</v>
      </c>
      <c r="F297">
        <f ca="1">VLOOKUP(B297, Orders!A:E, 3, FALSE) + RANDBETWEEN(0,2)</f>
        <v>46031</v>
      </c>
      <c r="G297">
        <f ca="1">F297+VLOOKUP(E297,Routes!A:D,4,FALSE)</f>
        <v>46035</v>
      </c>
      <c r="H297">
        <f t="shared" ca="1" si="16"/>
        <v>46035</v>
      </c>
      <c r="I297">
        <f t="shared" ca="1" si="17"/>
        <v>0</v>
      </c>
      <c r="J297" t="str">
        <f t="shared" ca="1" si="18"/>
        <v>On Time</v>
      </c>
      <c r="K297" t="str">
        <f t="shared" ca="1" si="19"/>
        <v>On Time</v>
      </c>
    </row>
    <row r="298" spans="1:11" x14ac:dyDescent="0.25">
      <c r="A298" t="s">
        <v>1562</v>
      </c>
      <c r="B298" t="s">
        <v>341</v>
      </c>
      <c r="C298" t="s">
        <v>200</v>
      </c>
      <c r="D298" t="s">
        <v>230</v>
      </c>
      <c r="E298" t="s">
        <v>251</v>
      </c>
      <c r="F298">
        <f ca="1">VLOOKUP(B298, Orders!A:E, 3, FALSE) + RANDBETWEEN(0,2)</f>
        <v>45822</v>
      </c>
      <c r="G298">
        <f ca="1">F298+VLOOKUP(E298,Routes!A:D,4,FALSE)</f>
        <v>45826</v>
      </c>
      <c r="H298">
        <f t="shared" ca="1" si="16"/>
        <v>45828</v>
      </c>
      <c r="I298">
        <f t="shared" ca="1" si="17"/>
        <v>2</v>
      </c>
      <c r="J298" t="str">
        <f t="shared" ca="1" si="18"/>
        <v>Late</v>
      </c>
      <c r="K298" t="str">
        <f t="shared" ca="1" si="19"/>
        <v>Minor Delay</v>
      </c>
    </row>
    <row r="299" spans="1:11" x14ac:dyDescent="0.25">
      <c r="A299" t="s">
        <v>1563</v>
      </c>
      <c r="B299" t="s">
        <v>466</v>
      </c>
      <c r="C299" t="s">
        <v>206</v>
      </c>
      <c r="D299" t="s">
        <v>223</v>
      </c>
      <c r="E299" t="s">
        <v>246</v>
      </c>
      <c r="F299">
        <f ca="1">VLOOKUP(B299, Orders!A:E, 3, FALSE) + RANDBETWEEN(0,2)</f>
        <v>46016</v>
      </c>
      <c r="G299">
        <f ca="1">F299+VLOOKUP(E299,Routes!A:D,4,FALSE)</f>
        <v>46019</v>
      </c>
      <c r="H299">
        <f t="shared" ca="1" si="16"/>
        <v>46020</v>
      </c>
      <c r="I299">
        <f t="shared" ca="1" si="17"/>
        <v>1</v>
      </c>
      <c r="J299" t="str">
        <f t="shared" ca="1" si="18"/>
        <v>Late</v>
      </c>
      <c r="K299" t="str">
        <f t="shared" ca="1" si="19"/>
        <v>Minor Delay</v>
      </c>
    </row>
    <row r="300" spans="1:11" x14ac:dyDescent="0.25">
      <c r="A300" t="s">
        <v>1564</v>
      </c>
      <c r="B300" t="s">
        <v>496</v>
      </c>
      <c r="C300" t="s">
        <v>192</v>
      </c>
      <c r="D300" t="s">
        <v>213</v>
      </c>
      <c r="E300" t="s">
        <v>253</v>
      </c>
      <c r="F300">
        <f ca="1">VLOOKUP(B300, Orders!A:E, 3, FALSE) + RANDBETWEEN(0,2)</f>
        <v>45910</v>
      </c>
      <c r="G300">
        <f ca="1">F300+VLOOKUP(E300,Routes!A:D,4,FALSE)</f>
        <v>45914</v>
      </c>
      <c r="H300">
        <f t="shared" ca="1" si="16"/>
        <v>45914</v>
      </c>
      <c r="I300">
        <f t="shared" ca="1" si="17"/>
        <v>0</v>
      </c>
      <c r="J300" t="str">
        <f t="shared" ca="1" si="18"/>
        <v>On Time</v>
      </c>
      <c r="K300" t="str">
        <f t="shared" ca="1" si="19"/>
        <v>On Time</v>
      </c>
    </row>
    <row r="301" spans="1:11" x14ac:dyDescent="0.25">
      <c r="A301" t="s">
        <v>1565</v>
      </c>
      <c r="B301" t="s">
        <v>331</v>
      </c>
      <c r="C301" t="s">
        <v>196</v>
      </c>
      <c r="D301" t="s">
        <v>220</v>
      </c>
      <c r="E301" t="s">
        <v>249</v>
      </c>
      <c r="F301">
        <f ca="1">VLOOKUP(B301, Orders!A:E, 3, FALSE) + RANDBETWEEN(0,2)</f>
        <v>45987</v>
      </c>
      <c r="G301">
        <f ca="1">F301+VLOOKUP(E301,Routes!A:D,4,FALSE)</f>
        <v>45989</v>
      </c>
      <c r="H301">
        <f t="shared" ca="1" si="16"/>
        <v>45991</v>
      </c>
      <c r="I301">
        <f t="shared" ca="1" si="17"/>
        <v>2</v>
      </c>
      <c r="J301" t="str">
        <f t="shared" ca="1" si="18"/>
        <v>Late</v>
      </c>
      <c r="K301" t="str">
        <f t="shared" ca="1" si="19"/>
        <v>Minor Delay</v>
      </c>
    </row>
    <row r="302" spans="1:11" x14ac:dyDescent="0.25">
      <c r="A302" t="s">
        <v>1566</v>
      </c>
      <c r="B302" t="s">
        <v>423</v>
      </c>
      <c r="C302" t="s">
        <v>200</v>
      </c>
      <c r="D302" t="s">
        <v>217</v>
      </c>
      <c r="E302" t="s">
        <v>257</v>
      </c>
      <c r="F302">
        <f ca="1">VLOOKUP(B302, Orders!A:E, 3, FALSE) + RANDBETWEEN(0,2)</f>
        <v>45869</v>
      </c>
      <c r="G302">
        <f ca="1">F302+VLOOKUP(E302,Routes!A:D,4,FALSE)</f>
        <v>45872</v>
      </c>
      <c r="H302">
        <f t="shared" ca="1" si="16"/>
        <v>45872</v>
      </c>
      <c r="I302">
        <f t="shared" ca="1" si="17"/>
        <v>0</v>
      </c>
      <c r="J302" t="str">
        <f t="shared" ca="1" si="18"/>
        <v>On Time</v>
      </c>
      <c r="K302" t="str">
        <f t="shared" ca="1" si="19"/>
        <v>On Time</v>
      </c>
    </row>
    <row r="303" spans="1:11" x14ac:dyDescent="0.25">
      <c r="A303" t="s">
        <v>1567</v>
      </c>
      <c r="B303" t="s">
        <v>373</v>
      </c>
      <c r="C303" t="s">
        <v>200</v>
      </c>
      <c r="D303" t="s">
        <v>217</v>
      </c>
      <c r="E303" t="s">
        <v>255</v>
      </c>
      <c r="F303">
        <f ca="1">VLOOKUP(B303, Orders!A:E, 3, FALSE) + RANDBETWEEN(0,2)</f>
        <v>45864</v>
      </c>
      <c r="G303">
        <f ca="1">F303+VLOOKUP(E303,Routes!A:D,4,FALSE)</f>
        <v>45867</v>
      </c>
      <c r="H303">
        <f t="shared" ca="1" si="16"/>
        <v>45867</v>
      </c>
      <c r="I303">
        <f t="shared" ca="1" si="17"/>
        <v>0</v>
      </c>
      <c r="J303" t="str">
        <f t="shared" ca="1" si="18"/>
        <v>On Time</v>
      </c>
      <c r="K303" t="str">
        <f t="shared" ca="1" si="19"/>
        <v>On Time</v>
      </c>
    </row>
    <row r="304" spans="1:11" x14ac:dyDescent="0.25">
      <c r="A304" t="s">
        <v>1568</v>
      </c>
      <c r="B304" t="s">
        <v>333</v>
      </c>
      <c r="C304" t="s">
        <v>203</v>
      </c>
      <c r="D304" t="s">
        <v>227</v>
      </c>
      <c r="E304" t="s">
        <v>247</v>
      </c>
      <c r="F304">
        <f ca="1">VLOOKUP(B304, Orders!A:E, 3, FALSE) + RANDBETWEEN(0,2)</f>
        <v>46011</v>
      </c>
      <c r="G304">
        <f ca="1">F304+VLOOKUP(E304,Routes!A:D,4,FALSE)</f>
        <v>46015</v>
      </c>
      <c r="H304">
        <f t="shared" ca="1" si="16"/>
        <v>46015</v>
      </c>
      <c r="I304">
        <f t="shared" ca="1" si="17"/>
        <v>0</v>
      </c>
      <c r="J304" t="str">
        <f t="shared" ca="1" si="18"/>
        <v>On Time</v>
      </c>
      <c r="K304" t="str">
        <f t="shared" ca="1" si="19"/>
        <v>On Time</v>
      </c>
    </row>
    <row r="305" spans="1:11" x14ac:dyDescent="0.25">
      <c r="A305" t="s">
        <v>1569</v>
      </c>
      <c r="B305" t="s">
        <v>380</v>
      </c>
      <c r="C305" t="s">
        <v>192</v>
      </c>
      <c r="D305" t="s">
        <v>223</v>
      </c>
      <c r="E305" t="s">
        <v>240</v>
      </c>
      <c r="F305">
        <f ca="1">VLOOKUP(B305, Orders!A:E, 3, FALSE) + RANDBETWEEN(0,2)</f>
        <v>45912</v>
      </c>
      <c r="G305">
        <f ca="1">F305+VLOOKUP(E305,Routes!A:D,4,FALSE)</f>
        <v>45916</v>
      </c>
      <c r="H305">
        <f t="shared" ca="1" si="16"/>
        <v>45916</v>
      </c>
      <c r="I305">
        <f t="shared" ca="1" si="17"/>
        <v>0</v>
      </c>
      <c r="J305" t="str">
        <f t="shared" ca="1" si="18"/>
        <v>On Time</v>
      </c>
      <c r="K305" t="str">
        <f t="shared" ca="1" si="19"/>
        <v>On Time</v>
      </c>
    </row>
    <row r="306" spans="1:11" x14ac:dyDescent="0.25">
      <c r="A306" t="s">
        <v>1570</v>
      </c>
      <c r="B306" t="s">
        <v>348</v>
      </c>
      <c r="C306" t="s">
        <v>192</v>
      </c>
      <c r="D306" t="s">
        <v>213</v>
      </c>
      <c r="E306" t="s">
        <v>242</v>
      </c>
      <c r="F306">
        <f ca="1">VLOOKUP(B306, Orders!A:E, 3, FALSE) + RANDBETWEEN(0,2)</f>
        <v>46048</v>
      </c>
      <c r="G306">
        <f ca="1">F306+VLOOKUP(E306,Routes!A:D,4,FALSE)</f>
        <v>46052</v>
      </c>
      <c r="H306">
        <f t="shared" ca="1" si="16"/>
        <v>46057</v>
      </c>
      <c r="I306">
        <f t="shared" ca="1" si="17"/>
        <v>5</v>
      </c>
      <c r="J306" t="str">
        <f t="shared" ca="1" si="18"/>
        <v>Late</v>
      </c>
      <c r="K306" t="str">
        <f t="shared" ca="1" si="19"/>
        <v>Major Delay</v>
      </c>
    </row>
    <row r="307" spans="1:11" x14ac:dyDescent="0.25">
      <c r="A307" t="s">
        <v>1571</v>
      </c>
      <c r="B307" t="s">
        <v>442</v>
      </c>
      <c r="C307" t="s">
        <v>196</v>
      </c>
      <c r="D307" t="s">
        <v>220</v>
      </c>
      <c r="E307" t="s">
        <v>244</v>
      </c>
      <c r="F307">
        <f ca="1">VLOOKUP(B307, Orders!A:E, 3, FALSE) + RANDBETWEEN(0,2)</f>
        <v>45803</v>
      </c>
      <c r="G307">
        <f ca="1">F307+VLOOKUP(E307,Routes!A:D,4,FALSE)</f>
        <v>45806</v>
      </c>
      <c r="H307">
        <f t="shared" ca="1" si="16"/>
        <v>45806</v>
      </c>
      <c r="I307">
        <f t="shared" ca="1" si="17"/>
        <v>0</v>
      </c>
      <c r="J307" t="str">
        <f t="shared" ca="1" si="18"/>
        <v>On Time</v>
      </c>
      <c r="K307" t="str">
        <f t="shared" ca="1" si="19"/>
        <v>On Time</v>
      </c>
    </row>
    <row r="308" spans="1:11" x14ac:dyDescent="0.25">
      <c r="A308" t="s">
        <v>1572</v>
      </c>
      <c r="B308" t="s">
        <v>275</v>
      </c>
      <c r="C308" t="s">
        <v>192</v>
      </c>
      <c r="D308" t="s">
        <v>227</v>
      </c>
      <c r="E308" t="s">
        <v>253</v>
      </c>
      <c r="F308">
        <f ca="1">VLOOKUP(B308, Orders!A:E, 3, FALSE) + RANDBETWEEN(0,2)</f>
        <v>46052</v>
      </c>
      <c r="G308">
        <f ca="1">F308+VLOOKUP(E308,Routes!A:D,4,FALSE)</f>
        <v>46056</v>
      </c>
      <c r="H308">
        <f t="shared" ca="1" si="16"/>
        <v>46056</v>
      </c>
      <c r="I308">
        <f t="shared" ca="1" si="17"/>
        <v>0</v>
      </c>
      <c r="J308" t="str">
        <f t="shared" ca="1" si="18"/>
        <v>On Time</v>
      </c>
      <c r="K308" t="str">
        <f t="shared" ca="1" si="19"/>
        <v>On Time</v>
      </c>
    </row>
    <row r="309" spans="1:11" x14ac:dyDescent="0.25">
      <c r="A309" t="s">
        <v>1573</v>
      </c>
      <c r="B309" t="s">
        <v>398</v>
      </c>
      <c r="C309" t="s">
        <v>192</v>
      </c>
      <c r="D309" t="s">
        <v>223</v>
      </c>
      <c r="E309" t="s">
        <v>237</v>
      </c>
      <c r="F309">
        <f ca="1">VLOOKUP(B309, Orders!A:E, 3, FALSE) + RANDBETWEEN(0,2)</f>
        <v>46029</v>
      </c>
      <c r="G309">
        <f ca="1">F309+VLOOKUP(E309,Routes!A:D,4,FALSE)</f>
        <v>46031</v>
      </c>
      <c r="H309">
        <f t="shared" ca="1" si="16"/>
        <v>46031</v>
      </c>
      <c r="I309">
        <f t="shared" ca="1" si="17"/>
        <v>0</v>
      </c>
      <c r="J309" t="str">
        <f t="shared" ca="1" si="18"/>
        <v>On Time</v>
      </c>
      <c r="K309" t="str">
        <f t="shared" ca="1" si="19"/>
        <v>On Time</v>
      </c>
    </row>
    <row r="310" spans="1:11" x14ac:dyDescent="0.25">
      <c r="A310" t="s">
        <v>1574</v>
      </c>
      <c r="B310" t="s">
        <v>506</v>
      </c>
      <c r="C310" t="s">
        <v>203</v>
      </c>
      <c r="D310" t="s">
        <v>217</v>
      </c>
      <c r="E310" t="s">
        <v>242</v>
      </c>
      <c r="F310">
        <f ca="1">VLOOKUP(B310, Orders!A:E, 3, FALSE) + RANDBETWEEN(0,2)</f>
        <v>45813</v>
      </c>
      <c r="G310">
        <f ca="1">F310+VLOOKUP(E310,Routes!A:D,4,FALSE)</f>
        <v>45817</v>
      </c>
      <c r="H310">
        <f t="shared" ca="1" si="16"/>
        <v>45822</v>
      </c>
      <c r="I310">
        <f t="shared" ca="1" si="17"/>
        <v>5</v>
      </c>
      <c r="J310" t="str">
        <f t="shared" ca="1" si="18"/>
        <v>Late</v>
      </c>
      <c r="K310" t="str">
        <f t="shared" ca="1" si="19"/>
        <v>Major Delay</v>
      </c>
    </row>
    <row r="311" spans="1:11" x14ac:dyDescent="0.25">
      <c r="A311" t="s">
        <v>1575</v>
      </c>
      <c r="B311" t="s">
        <v>514</v>
      </c>
      <c r="C311" t="s">
        <v>206</v>
      </c>
      <c r="D311" t="s">
        <v>230</v>
      </c>
      <c r="E311" t="s">
        <v>251</v>
      </c>
      <c r="F311">
        <f ca="1">VLOOKUP(B311, Orders!A:E, 3, FALSE) + RANDBETWEEN(0,2)</f>
        <v>45952</v>
      </c>
      <c r="G311">
        <f ca="1">F311+VLOOKUP(E311,Routes!A:D,4,FALSE)</f>
        <v>45956</v>
      </c>
      <c r="H311">
        <f t="shared" ca="1" si="16"/>
        <v>45958</v>
      </c>
      <c r="I311">
        <f t="shared" ca="1" si="17"/>
        <v>2</v>
      </c>
      <c r="J311" t="str">
        <f t="shared" ca="1" si="18"/>
        <v>Late</v>
      </c>
      <c r="K311" t="str">
        <f t="shared" ca="1" si="19"/>
        <v>Minor Delay</v>
      </c>
    </row>
    <row r="312" spans="1:11" x14ac:dyDescent="0.25">
      <c r="A312" t="s">
        <v>1576</v>
      </c>
      <c r="B312" t="s">
        <v>302</v>
      </c>
      <c r="C312" t="s">
        <v>203</v>
      </c>
      <c r="D312" t="s">
        <v>213</v>
      </c>
      <c r="E312" t="s">
        <v>244</v>
      </c>
      <c r="F312">
        <f ca="1">VLOOKUP(B312, Orders!A:E, 3, FALSE) + RANDBETWEEN(0,2)</f>
        <v>45807</v>
      </c>
      <c r="G312">
        <f ca="1">F312+VLOOKUP(E312,Routes!A:D,4,FALSE)</f>
        <v>45810</v>
      </c>
      <c r="H312">
        <f t="shared" ca="1" si="16"/>
        <v>45810</v>
      </c>
      <c r="I312">
        <f t="shared" ca="1" si="17"/>
        <v>0</v>
      </c>
      <c r="J312" t="str">
        <f t="shared" ca="1" si="18"/>
        <v>On Time</v>
      </c>
      <c r="K312" t="str">
        <f t="shared" ca="1" si="19"/>
        <v>On Time</v>
      </c>
    </row>
    <row r="313" spans="1:11" x14ac:dyDescent="0.25">
      <c r="A313" t="s">
        <v>1577</v>
      </c>
      <c r="B313" t="s">
        <v>314</v>
      </c>
      <c r="C313" t="s">
        <v>203</v>
      </c>
      <c r="D313" t="s">
        <v>213</v>
      </c>
      <c r="E313" t="s">
        <v>255</v>
      </c>
      <c r="F313">
        <f ca="1">VLOOKUP(B313, Orders!A:E, 3, FALSE) + RANDBETWEEN(0,2)</f>
        <v>45795</v>
      </c>
      <c r="G313">
        <f ca="1">F313+VLOOKUP(E313,Routes!A:D,4,FALSE)</f>
        <v>45798</v>
      </c>
      <c r="H313">
        <f t="shared" ca="1" si="16"/>
        <v>45798</v>
      </c>
      <c r="I313">
        <f t="shared" ca="1" si="17"/>
        <v>0</v>
      </c>
      <c r="J313" t="str">
        <f t="shared" ca="1" si="18"/>
        <v>On Time</v>
      </c>
      <c r="K313" t="str">
        <f t="shared" ca="1" si="19"/>
        <v>On Time</v>
      </c>
    </row>
    <row r="314" spans="1:11" x14ac:dyDescent="0.25">
      <c r="A314" t="s">
        <v>1578</v>
      </c>
      <c r="B314" t="s">
        <v>481</v>
      </c>
      <c r="C314" t="s">
        <v>192</v>
      </c>
      <c r="D314" t="s">
        <v>227</v>
      </c>
      <c r="E314" t="s">
        <v>259</v>
      </c>
      <c r="F314">
        <f ca="1">VLOOKUP(B314, Orders!A:E, 3, FALSE) + RANDBETWEEN(0,2)</f>
        <v>45988</v>
      </c>
      <c r="G314">
        <f ca="1">F314+VLOOKUP(E314,Routes!A:D,4,FALSE)</f>
        <v>45990</v>
      </c>
      <c r="H314">
        <f t="shared" ca="1" si="16"/>
        <v>45990</v>
      </c>
      <c r="I314">
        <f t="shared" ca="1" si="17"/>
        <v>0</v>
      </c>
      <c r="J314" t="str">
        <f t="shared" ca="1" si="18"/>
        <v>On Time</v>
      </c>
      <c r="K314" t="str">
        <f t="shared" ca="1" si="19"/>
        <v>On Time</v>
      </c>
    </row>
    <row r="315" spans="1:11" x14ac:dyDescent="0.25">
      <c r="A315" t="s">
        <v>1579</v>
      </c>
      <c r="B315" t="s">
        <v>277</v>
      </c>
      <c r="C315" t="s">
        <v>203</v>
      </c>
      <c r="D315" t="s">
        <v>213</v>
      </c>
      <c r="E315" t="s">
        <v>247</v>
      </c>
      <c r="F315">
        <f ca="1">VLOOKUP(B315, Orders!A:E, 3, FALSE) + RANDBETWEEN(0,2)</f>
        <v>46011</v>
      </c>
      <c r="G315">
        <f ca="1">F315+VLOOKUP(E315,Routes!A:D,4,FALSE)</f>
        <v>46015</v>
      </c>
      <c r="H315">
        <f t="shared" ca="1" si="16"/>
        <v>46015</v>
      </c>
      <c r="I315">
        <f t="shared" ca="1" si="17"/>
        <v>0</v>
      </c>
      <c r="J315" t="str">
        <f t="shared" ca="1" si="18"/>
        <v>On Time</v>
      </c>
      <c r="K315" t="str">
        <f t="shared" ca="1" si="19"/>
        <v>On Time</v>
      </c>
    </row>
    <row r="316" spans="1:11" x14ac:dyDescent="0.25">
      <c r="A316" t="s">
        <v>1580</v>
      </c>
      <c r="B316" t="s">
        <v>392</v>
      </c>
      <c r="C316" t="s">
        <v>192</v>
      </c>
      <c r="D316" t="s">
        <v>230</v>
      </c>
      <c r="E316" t="s">
        <v>259</v>
      </c>
      <c r="F316">
        <f ca="1">VLOOKUP(B316, Orders!A:E, 3, FALSE) + RANDBETWEEN(0,2)</f>
        <v>45869</v>
      </c>
      <c r="G316">
        <f ca="1">F316+VLOOKUP(E316,Routes!A:D,4,FALSE)</f>
        <v>45871</v>
      </c>
      <c r="H316">
        <f t="shared" ca="1" si="16"/>
        <v>45871</v>
      </c>
      <c r="I316">
        <f t="shared" ca="1" si="17"/>
        <v>0</v>
      </c>
      <c r="J316" t="str">
        <f t="shared" ca="1" si="18"/>
        <v>On Time</v>
      </c>
      <c r="K316" t="str">
        <f t="shared" ca="1" si="19"/>
        <v>On Time</v>
      </c>
    </row>
    <row r="317" spans="1:11" x14ac:dyDescent="0.25">
      <c r="A317" t="s">
        <v>1581</v>
      </c>
      <c r="B317" t="s">
        <v>494</v>
      </c>
      <c r="C317" t="s">
        <v>206</v>
      </c>
      <c r="D317" t="s">
        <v>220</v>
      </c>
      <c r="E317" t="s">
        <v>249</v>
      </c>
      <c r="F317">
        <f ca="1">VLOOKUP(B317, Orders!A:E, 3, FALSE) + RANDBETWEEN(0,2)</f>
        <v>45995</v>
      </c>
      <c r="G317">
        <f ca="1">F317+VLOOKUP(E317,Routes!A:D,4,FALSE)</f>
        <v>45997</v>
      </c>
      <c r="H317">
        <f t="shared" ca="1" si="16"/>
        <v>45997</v>
      </c>
      <c r="I317">
        <f t="shared" ca="1" si="17"/>
        <v>0</v>
      </c>
      <c r="J317" t="str">
        <f t="shared" ca="1" si="18"/>
        <v>On Time</v>
      </c>
      <c r="K317" t="str">
        <f t="shared" ca="1" si="19"/>
        <v>On Time</v>
      </c>
    </row>
    <row r="318" spans="1:11" x14ac:dyDescent="0.25">
      <c r="A318" t="s">
        <v>1582</v>
      </c>
      <c r="B318" t="s">
        <v>329</v>
      </c>
      <c r="C318" t="s">
        <v>200</v>
      </c>
      <c r="D318" t="s">
        <v>217</v>
      </c>
      <c r="E318" t="s">
        <v>253</v>
      </c>
      <c r="F318">
        <f ca="1">VLOOKUP(B318, Orders!A:E, 3, FALSE) + RANDBETWEEN(0,2)</f>
        <v>46013</v>
      </c>
      <c r="G318">
        <f ca="1">F318+VLOOKUP(E318,Routes!A:D,4,FALSE)</f>
        <v>46017</v>
      </c>
      <c r="H318">
        <f t="shared" ca="1" si="16"/>
        <v>46017</v>
      </c>
      <c r="I318">
        <f t="shared" ca="1" si="17"/>
        <v>0</v>
      </c>
      <c r="J318" t="str">
        <f t="shared" ca="1" si="18"/>
        <v>On Time</v>
      </c>
      <c r="K318" t="str">
        <f t="shared" ca="1" si="19"/>
        <v>On Time</v>
      </c>
    </row>
    <row r="319" spans="1:11" x14ac:dyDescent="0.25">
      <c r="A319" t="s">
        <v>1583</v>
      </c>
      <c r="B319" t="s">
        <v>425</v>
      </c>
      <c r="C319" t="s">
        <v>200</v>
      </c>
      <c r="D319" t="s">
        <v>213</v>
      </c>
      <c r="E319" t="s">
        <v>255</v>
      </c>
      <c r="F319">
        <f ca="1">VLOOKUP(B319, Orders!A:E, 3, FALSE) + RANDBETWEEN(0,2)</f>
        <v>45826</v>
      </c>
      <c r="G319">
        <f ca="1">F319+VLOOKUP(E319,Routes!A:D,4,FALSE)</f>
        <v>45829</v>
      </c>
      <c r="H319">
        <f t="shared" ca="1" si="16"/>
        <v>45832</v>
      </c>
      <c r="I319">
        <f t="shared" ca="1" si="17"/>
        <v>3</v>
      </c>
      <c r="J319" t="str">
        <f t="shared" ca="1" si="18"/>
        <v>Late</v>
      </c>
      <c r="K319" t="str">
        <f t="shared" ca="1" si="19"/>
        <v>Major Delay</v>
      </c>
    </row>
    <row r="320" spans="1:11" x14ac:dyDescent="0.25">
      <c r="A320" t="s">
        <v>1584</v>
      </c>
      <c r="B320" t="s">
        <v>314</v>
      </c>
      <c r="C320" t="s">
        <v>203</v>
      </c>
      <c r="D320" t="s">
        <v>220</v>
      </c>
      <c r="E320" t="s">
        <v>249</v>
      </c>
      <c r="F320">
        <f ca="1">VLOOKUP(B320, Orders!A:E, 3, FALSE) + RANDBETWEEN(0,2)</f>
        <v>45796</v>
      </c>
      <c r="G320">
        <f ca="1">F320+VLOOKUP(E320,Routes!A:D,4,FALSE)</f>
        <v>45798</v>
      </c>
      <c r="H320">
        <f t="shared" ca="1" si="16"/>
        <v>45801</v>
      </c>
      <c r="I320">
        <f t="shared" ca="1" si="17"/>
        <v>3</v>
      </c>
      <c r="J320" t="str">
        <f t="shared" ca="1" si="18"/>
        <v>Late</v>
      </c>
      <c r="K320" t="str">
        <f t="shared" ca="1" si="19"/>
        <v>Major Delay</v>
      </c>
    </row>
    <row r="321" spans="1:11" x14ac:dyDescent="0.25">
      <c r="A321" t="s">
        <v>1585</v>
      </c>
      <c r="B321" t="s">
        <v>495</v>
      </c>
      <c r="C321" t="s">
        <v>196</v>
      </c>
      <c r="D321" t="s">
        <v>223</v>
      </c>
      <c r="E321" t="s">
        <v>249</v>
      </c>
      <c r="F321">
        <f ca="1">VLOOKUP(B321, Orders!A:E, 3, FALSE) + RANDBETWEEN(0,2)</f>
        <v>45874</v>
      </c>
      <c r="G321">
        <f ca="1">F321+VLOOKUP(E321,Routes!A:D,4,FALSE)</f>
        <v>45876</v>
      </c>
      <c r="H321">
        <f t="shared" ca="1" si="16"/>
        <v>45876</v>
      </c>
      <c r="I321">
        <f t="shared" ca="1" si="17"/>
        <v>0</v>
      </c>
      <c r="J321" t="str">
        <f t="shared" ca="1" si="18"/>
        <v>On Time</v>
      </c>
      <c r="K321" t="str">
        <f t="shared" ca="1" si="19"/>
        <v>On Time</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S20"/>
  <sheetViews>
    <sheetView showGridLines="0" tabSelected="1" zoomScale="40" zoomScaleNormal="40" workbookViewId="0">
      <selection activeCell="D37" sqref="D37"/>
    </sheetView>
  </sheetViews>
  <sheetFormatPr defaultRowHeight="15" x14ac:dyDescent="0.25"/>
  <cols>
    <col min="6" max="6" width="8.28515625" customWidth="1"/>
  </cols>
  <sheetData>
    <row r="1" spans="4:19" ht="31.5" x14ac:dyDescent="0.5">
      <c r="G1" s="8" t="s">
        <v>1597</v>
      </c>
      <c r="H1" s="8"/>
      <c r="I1" s="8"/>
      <c r="J1" s="8"/>
      <c r="K1" s="8"/>
      <c r="L1" s="8"/>
      <c r="M1" s="8"/>
      <c r="N1" s="8"/>
      <c r="O1" s="8"/>
    </row>
    <row r="4" spans="4:19" x14ac:dyDescent="0.25">
      <c r="D4" s="9" t="s">
        <v>1598</v>
      </c>
      <c r="E4" s="10"/>
      <c r="F4" s="10"/>
      <c r="G4" s="10"/>
      <c r="O4" s="9" t="s">
        <v>1601</v>
      </c>
      <c r="P4" s="10"/>
      <c r="Q4" s="10"/>
      <c r="R4" s="10"/>
      <c r="S4" s="10"/>
    </row>
    <row r="19" spans="4:18" x14ac:dyDescent="0.25">
      <c r="P19" s="9" t="s">
        <v>1600</v>
      </c>
      <c r="Q19" s="10"/>
      <c r="R19" s="10"/>
    </row>
    <row r="20" spans="4:18" x14ac:dyDescent="0.25">
      <c r="D20" s="9" t="s">
        <v>1599</v>
      </c>
      <c r="E20" s="10"/>
      <c r="F20" s="10"/>
      <c r="G20" s="10"/>
    </row>
  </sheetData>
  <mergeCells count="4">
    <mergeCell ref="O4:S4"/>
    <mergeCell ref="D20:G20"/>
    <mergeCell ref="P19:R19"/>
    <mergeCell ref="D4:G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Customers</vt:lpstr>
      <vt:lpstr>Products</vt:lpstr>
      <vt:lpstr>Warehouses</vt:lpstr>
      <vt:lpstr>Carriers</vt:lpstr>
      <vt:lpstr>Routes</vt:lpstr>
      <vt:lpstr>Orders</vt:lpstr>
      <vt:lpstr>Order_ID</vt:lpstr>
      <vt:lpstr>On_Time_Delivery_Perf</vt:lpstr>
      <vt:lpstr>Warehouse_Performance</vt:lpstr>
      <vt:lpstr>Route_Performance</vt:lpstr>
      <vt:lpstr>Delay_Category</vt:lpstr>
      <vt:lpstr>Shipments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cp:lastModifiedBy>
  <dcterms:created xsi:type="dcterms:W3CDTF">2026-02-03T17:11:20Z</dcterms:created>
  <dcterms:modified xsi:type="dcterms:W3CDTF">2026-02-12T18:50:02Z</dcterms:modified>
</cp:coreProperties>
</file>